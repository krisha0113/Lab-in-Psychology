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word priming/"/>
    </mc:Choice>
  </mc:AlternateContent>
  <xr:revisionPtr revIDLastSave="0" documentId="13_ncr:1_{F4F48396-E751-BC4D-9FBC-64FE616ACA69}" xr6:coauthVersionLast="47" xr6:coauthVersionMax="47" xr10:uidLastSave="{00000000-0000-0000-0000-000000000000}"/>
  <bookViews>
    <workbookView xWindow="0" yWindow="0" windowWidth="28800" windowHeight="18000" xr2:uid="{E710435B-F443-6748-A218-F8334C885AD5}"/>
  </bookViews>
  <sheets>
    <sheet name="01" sheetId="1" r:id="rId1"/>
    <sheet name="02" sheetId="5" r:id="rId2"/>
    <sheet name="03" sheetId="3" r:id="rId3"/>
    <sheet name="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5" l="1"/>
  <c r="I41" i="5"/>
  <c r="I42" i="5"/>
  <c r="I41" i="4"/>
  <c r="I44" i="4" s="1"/>
  <c r="I42" i="4"/>
  <c r="I42" i="3"/>
  <c r="I41" i="3"/>
  <c r="I44" i="3" s="1"/>
  <c r="I42" i="1"/>
  <c r="I41" i="1"/>
  <c r="I44" i="1" s="1"/>
</calcChain>
</file>

<file path=xl/sharedStrings.xml><?xml version="1.0" encoding="utf-8"?>
<sst xmlns="http://schemas.openxmlformats.org/spreadsheetml/2006/main" count="2432" uniqueCount="308">
  <si>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</si>
  <si>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</si>
  <si>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</si>
  <si>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</si>
  <si>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</si>
  <si>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</si>
  <si>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</si>
  <si>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</si>
  <si>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</si>
  <si>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</si>
  <si>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</si>
  <si>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</si>
  <si>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</si>
  <si>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</si>
  <si>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</si>
  <si>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</si>
  <si>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</si>
  <si>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</si>
  <si>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</si>
  <si>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</si>
  <si>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</si>
  <si>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</si>
  <si>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</si>
  <si>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</si>
  <si>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</si>
  <si>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</si>
  <si>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</si>
  <si>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</si>
  <si>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</si>
  <si>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</si>
  <si>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</si>
  <si>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</si>
  <si>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</si>
  <si>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</si>
  <si>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</si>
  <si>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</si>
  <si>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</si>
  <si>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</si>
  <si>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</si>
  <si>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</si>
  <si>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</si>
  <si>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</si>
  <si>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</si>
  <si>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</si>
  <si>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</si>
  <si>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</si>
  <si>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</si>
  <si>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</si>
  <si>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</si>
  <si>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</si>
  <si>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</si>
  <si>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</si>
  <si>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</si>
  <si>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</si>
  <si>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</si>
  <si>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</si>
  <si>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</si>
  <si>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2025-10-14_04h15.59.907</t>
  </si>
  <si>
    <t>Word Priming</t>
  </si>
  <si>
    <t>2025.1.1</t>
  </si>
  <si>
    <t>None</t>
  </si>
  <si>
    <t>2025-10-14 04h16.09.428529 +0530</t>
  </si>
  <si>
    <t>keys</t>
  </si>
  <si>
    <t>cruise</t>
  </si>
  <si>
    <t>case</t>
  </si>
  <si>
    <t>mouse</t>
  </si>
  <si>
    <t>police</t>
  </si>
  <si>
    <t>tshirt</t>
  </si>
  <si>
    <t>marble</t>
  </si>
  <si>
    <t>cushion</t>
  </si>
  <si>
    <t>board</t>
  </si>
  <si>
    <t>laptop</t>
  </si>
  <si>
    <t>poster</t>
  </si>
  <si>
    <t>chart</t>
  </si>
  <si>
    <t>book</t>
  </si>
  <si>
    <t>phone</t>
  </si>
  <si>
    <t>_ou_e</t>
  </si>
  <si>
    <t>old</t>
  </si>
  <si>
    <t>[np.float64(-0.07888888888888888)]</t>
  </si>
  <si>
    <t>[np.float64(-0.29333333333333333)]</t>
  </si>
  <si>
    <t>[1]</t>
  </si>
  <si>
    <t>[0]</t>
  </si>
  <si>
    <t>[4.6142934579984285]</t>
  </si>
  <si>
    <t>['submit_text']</t>
  </si>
  <si>
    <t>t_hi_t</t>
  </si>
  <si>
    <t>[np.float64(-0.016666666666666666)]</t>
  </si>
  <si>
    <t>[np.float64(-0.3)]</t>
  </si>
  <si>
    <t>[4.483437749964651]</t>
  </si>
  <si>
    <t>c_s_io_</t>
  </si>
  <si>
    <t>[np.float64(0.052222222222222225)]</t>
  </si>
  <si>
    <t>[5.097551582963206]</t>
  </si>
  <si>
    <t>c_s_</t>
  </si>
  <si>
    <t>[np.float64(0.03333333333333333)]</t>
  </si>
  <si>
    <t>[4.965783958032262]</t>
  </si>
  <si>
    <t>k_y_</t>
  </si>
  <si>
    <t>[np.float64(0.08888888888888889)]</t>
  </si>
  <si>
    <t>[np.float64(-0.31)]</t>
  </si>
  <si>
    <t>[4.1631088749854825]</t>
  </si>
  <si>
    <t>p_li_e</t>
  </si>
  <si>
    <t>[np.float64(0.022222222222222223)]</t>
  </si>
  <si>
    <t>[np.float64(-0.3088888888888889)]</t>
  </si>
  <si>
    <t>[3.1824887080001645]</t>
  </si>
  <si>
    <t>l_pt_p</t>
  </si>
  <si>
    <t>[np.float64(0.0022222222222222222)]</t>
  </si>
  <si>
    <t>[np.float64(-0.2922222222222222)]</t>
  </si>
  <si>
    <t>[7.282183500006795]</t>
  </si>
  <si>
    <t>_oo_</t>
  </si>
  <si>
    <t>[np.float64(0.03888888888888889)]</t>
  </si>
  <si>
    <t>[3.2501157500082627]</t>
  </si>
  <si>
    <t>_ho_e</t>
  </si>
  <si>
    <t>[np.float64(0.07666666666666666)]</t>
  </si>
  <si>
    <t>[np.float64(-0.31444444444444447)]</t>
  </si>
  <si>
    <t>[5.0303596669691615]</t>
  </si>
  <si>
    <t>_o_rd</t>
  </si>
  <si>
    <t>coord</t>
  </si>
  <si>
    <t>[np.float64(0.04555555555555556)]</t>
  </si>
  <si>
    <t>[np.float64(-0.31666666666666665)]</t>
  </si>
  <si>
    <t>[9.081663332995959]</t>
  </si>
  <si>
    <t>v_s_</t>
  </si>
  <si>
    <t>vase</t>
  </si>
  <si>
    <t>new</t>
  </si>
  <si>
    <t>[np.float64(0.057777777777777775)]</t>
  </si>
  <si>
    <t>[np.float64(-0.30444444444444446)]</t>
  </si>
  <si>
    <t>[5.0295499169733375]</t>
  </si>
  <si>
    <t>ta_l_</t>
  </si>
  <si>
    <t>table</t>
  </si>
  <si>
    <t>taile</t>
  </si>
  <si>
    <t>[np.float64(0.051111111111111114)]</t>
  </si>
  <si>
    <t>[np.float64(-0.2911111111111111)]</t>
  </si>
  <si>
    <t>[10.577957375033293]</t>
  </si>
  <si>
    <t>_a_bl_</t>
  </si>
  <si>
    <t>[np.float64(0.06)]</t>
  </si>
  <si>
    <t>[np.float64(-0.3011111111111111)]</t>
  </si>
  <si>
    <t>[5.454386166995391]</t>
  </si>
  <si>
    <t>p_st_y</t>
  </si>
  <si>
    <t>[np.float64(0.07111111111111111)]</t>
  </si>
  <si>
    <t>[np.float64(-0.29888888888888887)]</t>
  </si>
  <si>
    <t>[3.1796931250137277]</t>
  </si>
  <si>
    <t>p_st_r</t>
  </si>
  <si>
    <t>[np.float64(0.03777777777777778)]</t>
  </si>
  <si>
    <t>[np.float64(-0.2966666666666667)]</t>
  </si>
  <si>
    <t>[4.6814132910221815]</t>
  </si>
  <si>
    <t>p_nc_l</t>
  </si>
  <si>
    <t>pencil</t>
  </si>
  <si>
    <t>[np.float64(0.035555555555555556)]</t>
  </si>
  <si>
    <t>[np.float64(-0.3055555555555556)]</t>
  </si>
  <si>
    <t>[3.9816947919898666]</t>
  </si>
  <si>
    <t>_ru_s_</t>
  </si>
  <si>
    <t>[np.float64(0.08333333333333333)]</t>
  </si>
  <si>
    <t>[5.61678437498631]</t>
  </si>
  <si>
    <t>bo_t_e</t>
  </si>
  <si>
    <t>bottle</t>
  </si>
  <si>
    <t>[np.float64(0.07333333333333333)]</t>
  </si>
  <si>
    <t>[5.4959928339812905]</t>
  </si>
  <si>
    <t>c_m_ra</t>
  </si>
  <si>
    <t>camera</t>
  </si>
  <si>
    <t>[np.float64(0.0)]</t>
  </si>
  <si>
    <t>[np.float64(-0.29555555555555557)]</t>
  </si>
  <si>
    <t>[3.5781434169621207]</t>
  </si>
  <si>
    <t>_ha_t</t>
  </si>
  <si>
    <t>[4.518173124990426]</t>
  </si>
  <si>
    <t>Prop of hit for non primed words</t>
  </si>
  <si>
    <t>Priming score</t>
  </si>
  <si>
    <t>ERRORS IN OLD</t>
  </si>
  <si>
    <t>ERRORS IN NEW</t>
  </si>
  <si>
    <t>TOTAL NUMBER OF OLD WORDS</t>
  </si>
  <si>
    <t>TOTAL NUMBER OF NEW WORDS</t>
  </si>
  <si>
    <t>TOTAL NUMBER OF WORDS</t>
  </si>
  <si>
    <t>Prop of hit for prime words</t>
  </si>
  <si>
    <t>PERSON 01 ANALYSIS</t>
  </si>
  <si>
    <t>[np.float64(-0.30777777777777776)]</t>
  </si>
  <si>
    <t>[np.float64(-0.29444444444444445)]</t>
  </si>
  <si>
    <t>[np.float64(-0.31555555555555553)]</t>
  </si>
  <si>
    <t>[np.float64(-0.3022222222222222)]</t>
  </si>
  <si>
    <t>[np.float64(-0.29)]</t>
  </si>
  <si>
    <t>[np.float64(-0.02666666666666667)]</t>
  </si>
  <si>
    <t>chord</t>
  </si>
  <si>
    <t>[np.float64(-0.2811111111111111)]</t>
  </si>
  <si>
    <t>[np.float64(0.04)]</t>
  </si>
  <si>
    <t>[np.float64(-0.30333333333333334)]</t>
  </si>
  <si>
    <t>[np.float64(0.07888888888888888)]</t>
  </si>
  <si>
    <t>PERSON 02 ANALYSIS</t>
  </si>
  <si>
    <t>2025-10-15_01h02.16.809</t>
  </si>
  <si>
    <t>2025-10-15 01h02.33.937921 +0530</t>
  </si>
  <si>
    <t>[np.float64(-0.06)]</t>
  </si>
  <si>
    <t>[np.float64(-0.2866666666666667)]</t>
  </si>
  <si>
    <t>[10.871849124960136]</t>
  </si>
  <si>
    <t>[np.float64(0.06222222222222222)]</t>
  </si>
  <si>
    <t>[5.846780207997654]</t>
  </si>
  <si>
    <t>[np.float64(0.08666666666666667)]</t>
  </si>
  <si>
    <t>[3.3799587500398047]</t>
  </si>
  <si>
    <t>[np.float64(0.08444444444444445)]</t>
  </si>
  <si>
    <t>[3.5812949169776402]</t>
  </si>
  <si>
    <t>[5.331551208975725]</t>
  </si>
  <si>
    <t>tally</t>
  </si>
  <si>
    <t>[np.float64(0.10333333333333333)]</t>
  </si>
  <si>
    <t>[6.71392545796698]</t>
  </si>
  <si>
    <t>[10.530904333048966]</t>
  </si>
  <si>
    <t>[np.float64(0.05444444444444444)]</t>
  </si>
  <si>
    <t>[6.265805249975529]</t>
  </si>
  <si>
    <t>[3.9635959579609334]</t>
  </si>
  <si>
    <t>[np.float64(-0.0022222222222222222)]</t>
  </si>
  <si>
    <t>[4.59797795797931]</t>
  </si>
  <si>
    <t>[np.float64(0.06444444444444444)]</t>
  </si>
  <si>
    <t>[np.float64(-0.28444444444444444)]</t>
  </si>
  <si>
    <t>[3.7320644590072334]</t>
  </si>
  <si>
    <t>[12.362650750030298]</t>
  </si>
  <si>
    <t>[np.float64(-0.014444444444444444)]</t>
  </si>
  <si>
    <t>[np.float64(-0.31222222222222223)]</t>
  </si>
  <si>
    <t>[4.965990917000454]</t>
  </si>
  <si>
    <t>[np.float64(0.024444444444444446)]</t>
  </si>
  <si>
    <t>[np.float64(-0.31333333333333335)]</t>
  </si>
  <si>
    <t>[3.3803098329808563]</t>
  </si>
  <si>
    <t>[np.float64(-0.015555555555555555)]</t>
  </si>
  <si>
    <t>[4.3322494169697165]</t>
  </si>
  <si>
    <t>[np.float64(0.1111111111111111)]</t>
  </si>
  <si>
    <t>[2.913968125008978]</t>
  </si>
  <si>
    <t>[np.float64(0.11555555555555555), np.float64(0.08888888888888889)]</t>
  </si>
  <si>
    <t>[np.float64(-0.3322222222222222), np.float64(-0.30666666666666664)]</t>
  </si>
  <si>
    <t>[1, 1]</t>
  </si>
  <si>
    <t>[0, 0]</t>
  </si>
  <si>
    <t>[5.415323499997612, 6.314653542009182]</t>
  </si>
  <si>
    <t>[None, 'submit_text']</t>
  </si>
  <si>
    <t>[np.float64(-0.01888888888888889)]</t>
  </si>
  <si>
    <t>[np.float64(-0.32)]</t>
  </si>
  <si>
    <t>[3.681816791999154]</t>
  </si>
  <si>
    <t>[np.float64(-0.04111111111111111)]</t>
  </si>
  <si>
    <t>[np.float64(-0.28555555555555556)]</t>
  </si>
  <si>
    <t>[5.230283666984178]</t>
  </si>
  <si>
    <t>[np.float64(-0.024444444444444446)]</t>
  </si>
  <si>
    <t>[4.081999999994878]</t>
  </si>
  <si>
    <t>PERSON 03 ANALYSIS</t>
  </si>
  <si>
    <t>2025-10-15_01h06.09.964</t>
  </si>
  <si>
    <t>2025-10-15 01h06.16.554064 +0530</t>
  </si>
  <si>
    <t>[np.float64(0.012222222222222223)]</t>
  </si>
  <si>
    <t>[4.554371250036638]</t>
  </si>
  <si>
    <t>[np.float64(-0.2833333333333333)]</t>
  </si>
  <si>
    <t>[2.76440750004258]</t>
  </si>
  <si>
    <t>[2.630828667024616]</t>
  </si>
  <si>
    <t>[np.float64(0.03222222222222222)]</t>
  </si>
  <si>
    <t>[3.49763570795767]</t>
  </si>
  <si>
    <t>[np.float64(0.027777777777777776)]</t>
  </si>
  <si>
    <t>[4.797762166010216]</t>
  </si>
  <si>
    <t>[np.float64(0.015555555555555555)]</t>
  </si>
  <si>
    <t>[12.513957333983853]</t>
  </si>
  <si>
    <t>[np.float64(-0.011111111111111112)]</t>
  </si>
  <si>
    <t>[np.float64(-0.3111111111111111)]</t>
  </si>
  <si>
    <t>[4.115118374989834]</t>
  </si>
  <si>
    <t>[np.float64(0.0077777777777777776)]</t>
  </si>
  <si>
    <t>[4.5809791249921545]</t>
  </si>
  <si>
    <t>vuse</t>
  </si>
  <si>
    <t>[np.float64(0.044444444444444446)]</t>
  </si>
  <si>
    <t>[7.680366459011566]</t>
  </si>
  <si>
    <t>[2.864441292011179]</t>
  </si>
  <si>
    <t>[3.614574500010349]</t>
  </si>
  <si>
    <t>bolte</t>
  </si>
  <si>
    <t>[np.float64(0.011111111111111112)]</t>
  </si>
  <si>
    <t>[np.float64(-0.32222222222222224)]</t>
  </si>
  <si>
    <t>[4.664710667042527]</t>
  </si>
  <si>
    <t>[np.float64(0.0044444444444444444)]</t>
  </si>
  <si>
    <t>[4.897632582986262]</t>
  </si>
  <si>
    <t>[np.float64(0.021111111111111112)]</t>
  </si>
  <si>
    <t>[6.4143754170509055]</t>
  </si>
  <si>
    <t>[3.4313593339757062]</t>
  </si>
  <si>
    <t>[np.float64(0.0011111111111111111)]</t>
  </si>
  <si>
    <t>[3.663419583986979]</t>
  </si>
  <si>
    <t>[np.float64(-0.005555555555555556)]</t>
  </si>
  <si>
    <t>[3.2818989169900306]</t>
  </si>
  <si>
    <t>[np.float64(-0.014444444444444444), np.float64(0.02)]</t>
  </si>
  <si>
    <t>[np.float64(-0.0044444444444444444), np.float64(-0.2877777777777778)]</t>
  </si>
  <si>
    <t>[9.547841417021118, 11.996470084006432]</t>
  </si>
  <si>
    <t>[10.381838832981884]</t>
  </si>
  <si>
    <t>[np.float64(0.04888888888888889)]</t>
  </si>
  <si>
    <t>[5.68228441599058]</t>
  </si>
  <si>
    <t>PERSON 04 ANALYSIS</t>
  </si>
  <si>
    <t>2025-10-15_01h09.16.613</t>
  </si>
  <si>
    <t>2025-10-15 01h09.23.570820 +0530</t>
  </si>
  <si>
    <t>[np.float64(-0.13666666666666666)]</t>
  </si>
  <si>
    <t>[6.737333708035294]</t>
  </si>
  <si>
    <t>[3.479301374987699]</t>
  </si>
  <si>
    <t>[np.float64(0.013333333333333334)]</t>
  </si>
  <si>
    <t>[4.09944641700713]</t>
  </si>
  <si>
    <t>[4.114983708015643]</t>
  </si>
  <si>
    <t>[np.float64(0.02666666666666667)]</t>
  </si>
  <si>
    <t>[7.664484834007453]</t>
  </si>
  <si>
    <t>[np.float64(-0.29777777777777775)]</t>
  </si>
  <si>
    <t>[3.6468774170498364]</t>
  </si>
  <si>
    <t>[np.float64(0.014444444444444444)]</t>
  </si>
  <si>
    <t>[3.5314690829836763]</t>
  </si>
  <si>
    <t>bruise</t>
  </si>
  <si>
    <t>[5.814356125018094]</t>
  </si>
  <si>
    <t>[6.213753375050146]</t>
  </si>
  <si>
    <t>[4.248142625030596]</t>
  </si>
  <si>
    <t>[np.float64(-0.021111111111111112)]</t>
  </si>
  <si>
    <t>[3.3308203750057146]</t>
  </si>
  <si>
    <t>[3.3323715420556255]</t>
  </si>
  <si>
    <t>[2.713732708012685]</t>
  </si>
  <si>
    <t>[np.float64(-0.057777777777777775)]</t>
  </si>
  <si>
    <t>[5.181672332982998]</t>
  </si>
  <si>
    <t>[np.float64(-0.07111111111111111)]</t>
  </si>
  <si>
    <t>[3.330860666988883]</t>
  </si>
  <si>
    <t>[np.float64(-0.04555555555555556)]</t>
  </si>
  <si>
    <t>[3.2980162919848226]</t>
  </si>
  <si>
    <t>[4.7135805420111865]</t>
  </si>
  <si>
    <t>[np.float64(0.008888888888888889)]</t>
  </si>
  <si>
    <t>[4.432255833002273]</t>
  </si>
  <si>
    <t>[12.045967250014655]</t>
  </si>
  <si>
    <t>[2.3825788340182044]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</si>
</sst>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072D-C57F-C849-B1E6-AD296C93CC27}">
  <dimension ref="A1:BD47"/>
  <sheetViews>
    <sheetView tabSelected="1" topLeftCell="A15" workbookViewId="0">
      <selection activeCell="K48" sqref="K48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B2">
        <v>0</v>
      </c>
      <c r="C2">
        <v>0</v>
      </c>
      <c r="D2">
        <v>0</v>
      </c>
      <c r="G2" t="s">
        <v>76</v>
      </c>
      <c r="H2" t="s">
        <v>65</v>
      </c>
      <c r="I2" t="s">
        <v>77</v>
      </c>
      <c r="J2" t="s">
        <v>65</v>
      </c>
      <c r="K2" t="s">
        <v>78</v>
      </c>
      <c r="L2" t="s">
        <v>79</v>
      </c>
      <c r="M2" t="s">
        <v>80</v>
      </c>
      <c r="N2" t="s">
        <v>81</v>
      </c>
      <c r="O2" t="s">
        <v>81</v>
      </c>
      <c r="P2" t="s">
        <v>82</v>
      </c>
      <c r="Q2" t="s">
        <v>83</v>
      </c>
      <c r="U2">
        <v>0</v>
      </c>
      <c r="V2">
        <v>0</v>
      </c>
      <c r="W2">
        <v>0</v>
      </c>
      <c r="X2">
        <v>3</v>
      </c>
      <c r="Y2">
        <v>37.026328499999998</v>
      </c>
      <c r="AG2">
        <v>36.877288200000002</v>
      </c>
      <c r="AH2">
        <v>37.026328499999998</v>
      </c>
      <c r="AI2">
        <v>37.026328499999998</v>
      </c>
      <c r="AJ2">
        <v>37.026328499999998</v>
      </c>
      <c r="AK2">
        <v>9.4960400000000007E-3</v>
      </c>
      <c r="AL2">
        <v>41.491745199999997</v>
      </c>
      <c r="AM2" t="s">
        <v>65</v>
      </c>
      <c r="AN2" t="s">
        <v>78</v>
      </c>
      <c r="AO2" t="s">
        <v>79</v>
      </c>
      <c r="AP2" t="s">
        <v>80</v>
      </c>
      <c r="AQ2" t="s">
        <v>81</v>
      </c>
      <c r="AR2" t="s">
        <v>81</v>
      </c>
      <c r="AS2" t="s">
        <v>82</v>
      </c>
      <c r="AT2" t="s">
        <v>83</v>
      </c>
      <c r="AU2">
        <v>1</v>
      </c>
      <c r="AV2">
        <v>1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</row>
    <row r="3" spans="1:56" x14ac:dyDescent="0.2">
      <c r="B3">
        <v>1</v>
      </c>
      <c r="C3">
        <v>1</v>
      </c>
      <c r="D3">
        <v>0</v>
      </c>
      <c r="G3" t="s">
        <v>84</v>
      </c>
      <c r="H3" t="s">
        <v>67</v>
      </c>
      <c r="I3" t="s">
        <v>77</v>
      </c>
      <c r="J3" t="s">
        <v>67</v>
      </c>
      <c r="K3" t="s">
        <v>85</v>
      </c>
      <c r="L3" t="s">
        <v>86</v>
      </c>
      <c r="M3" t="s">
        <v>80</v>
      </c>
      <c r="N3" t="s">
        <v>81</v>
      </c>
      <c r="O3" t="s">
        <v>81</v>
      </c>
      <c r="P3" t="s">
        <v>87</v>
      </c>
      <c r="Q3" t="s">
        <v>83</v>
      </c>
      <c r="U3">
        <v>0</v>
      </c>
      <c r="V3">
        <v>1</v>
      </c>
      <c r="W3">
        <v>1</v>
      </c>
      <c r="X3">
        <v>2</v>
      </c>
      <c r="Y3">
        <v>41.501790800000002</v>
      </c>
      <c r="AG3">
        <v>41.493595800000001</v>
      </c>
      <c r="AH3">
        <v>41.501790800000002</v>
      </c>
      <c r="AI3">
        <v>41.501790800000002</v>
      </c>
      <c r="AJ3">
        <v>41.501790800000002</v>
      </c>
      <c r="AK3">
        <v>1.7298299999999999E-3</v>
      </c>
      <c r="AL3">
        <v>45.977215399999999</v>
      </c>
      <c r="AM3" t="s">
        <v>67</v>
      </c>
      <c r="AN3" t="s">
        <v>85</v>
      </c>
      <c r="AO3" t="s">
        <v>86</v>
      </c>
      <c r="AP3" t="s">
        <v>80</v>
      </c>
      <c r="AQ3" t="s">
        <v>81</v>
      </c>
      <c r="AR3" t="s">
        <v>81</v>
      </c>
      <c r="AS3" t="s">
        <v>87</v>
      </c>
      <c r="AT3" t="s">
        <v>83</v>
      </c>
      <c r="AU3">
        <v>1</v>
      </c>
      <c r="AV3">
        <v>1</v>
      </c>
      <c r="AW3" t="s">
        <v>57</v>
      </c>
      <c r="AX3" t="s">
        <v>58</v>
      </c>
      <c r="AY3" t="s">
        <v>59</v>
      </c>
      <c r="AZ3" t="s">
        <v>60</v>
      </c>
      <c r="BA3" t="s">
        <v>61</v>
      </c>
    </row>
    <row r="4" spans="1:56" x14ac:dyDescent="0.2">
      <c r="B4">
        <v>2</v>
      </c>
      <c r="C4">
        <v>2</v>
      </c>
      <c r="D4">
        <v>0</v>
      </c>
      <c r="G4" t="s">
        <v>88</v>
      </c>
      <c r="H4" t="s">
        <v>69</v>
      </c>
      <c r="I4" t="s">
        <v>77</v>
      </c>
      <c r="J4" t="s">
        <v>69</v>
      </c>
      <c r="K4" t="s">
        <v>89</v>
      </c>
      <c r="L4" t="s">
        <v>86</v>
      </c>
      <c r="M4" t="s">
        <v>80</v>
      </c>
      <c r="N4" t="s">
        <v>81</v>
      </c>
      <c r="O4" t="s">
        <v>81</v>
      </c>
      <c r="P4" t="s">
        <v>90</v>
      </c>
      <c r="Q4" t="s">
        <v>83</v>
      </c>
      <c r="U4">
        <v>0</v>
      </c>
      <c r="V4">
        <v>2</v>
      </c>
      <c r="W4">
        <v>2</v>
      </c>
      <c r="X4">
        <v>13</v>
      </c>
      <c r="Y4">
        <v>45.987811899999997</v>
      </c>
      <c r="AG4">
        <v>45.979069600000003</v>
      </c>
      <c r="AH4">
        <v>45.987811899999997</v>
      </c>
      <c r="AI4">
        <v>45.987811899999997</v>
      </c>
      <c r="AJ4">
        <v>45.987811899999997</v>
      </c>
      <c r="AK4">
        <v>1.7475399999999999E-3</v>
      </c>
      <c r="AL4">
        <v>51.076801699999997</v>
      </c>
      <c r="AM4" t="s">
        <v>69</v>
      </c>
      <c r="AN4" t="s">
        <v>89</v>
      </c>
      <c r="AO4" t="s">
        <v>86</v>
      </c>
      <c r="AP4" t="s">
        <v>80</v>
      </c>
      <c r="AQ4" t="s">
        <v>81</v>
      </c>
      <c r="AR4" t="s">
        <v>81</v>
      </c>
      <c r="AS4" t="s">
        <v>90</v>
      </c>
      <c r="AT4" t="s">
        <v>83</v>
      </c>
      <c r="AU4">
        <v>1</v>
      </c>
      <c r="AV4">
        <v>1</v>
      </c>
      <c r="AW4" t="s">
        <v>57</v>
      </c>
      <c r="AX4" t="s">
        <v>58</v>
      </c>
      <c r="AY4" t="s">
        <v>59</v>
      </c>
      <c r="AZ4" t="s">
        <v>60</v>
      </c>
      <c r="BA4" t="s">
        <v>61</v>
      </c>
    </row>
    <row r="5" spans="1:56" x14ac:dyDescent="0.2">
      <c r="B5">
        <v>3</v>
      </c>
      <c r="C5">
        <v>3</v>
      </c>
      <c r="D5">
        <v>0</v>
      </c>
      <c r="G5" t="s">
        <v>91</v>
      </c>
      <c r="H5" t="s">
        <v>64</v>
      </c>
      <c r="I5" t="s">
        <v>77</v>
      </c>
      <c r="J5" t="s">
        <v>64</v>
      </c>
      <c r="K5" t="s">
        <v>92</v>
      </c>
      <c r="L5" t="s">
        <v>86</v>
      </c>
      <c r="M5" t="s">
        <v>80</v>
      </c>
      <c r="N5" t="s">
        <v>81</v>
      </c>
      <c r="O5" t="s">
        <v>81</v>
      </c>
      <c r="P5" t="s">
        <v>93</v>
      </c>
      <c r="Q5" t="s">
        <v>83</v>
      </c>
      <c r="U5">
        <v>0</v>
      </c>
      <c r="V5">
        <v>3</v>
      </c>
      <c r="W5">
        <v>3</v>
      </c>
      <c r="X5">
        <v>5</v>
      </c>
      <c r="Y5">
        <v>51.102452900000003</v>
      </c>
      <c r="AG5">
        <v>51.078300300000002</v>
      </c>
      <c r="AH5">
        <v>51.102452900000003</v>
      </c>
      <c r="AI5">
        <v>51.102452900000003</v>
      </c>
      <c r="AJ5">
        <v>51.102452900000003</v>
      </c>
      <c r="AK5">
        <v>1.4195799999999999E-3</v>
      </c>
      <c r="AL5">
        <v>56.044266</v>
      </c>
      <c r="AM5" t="s">
        <v>64</v>
      </c>
      <c r="AN5" t="s">
        <v>92</v>
      </c>
      <c r="AO5" t="s">
        <v>86</v>
      </c>
      <c r="AP5" t="s">
        <v>80</v>
      </c>
      <c r="AQ5" t="s">
        <v>81</v>
      </c>
      <c r="AR5" t="s">
        <v>81</v>
      </c>
      <c r="AS5" t="s">
        <v>93</v>
      </c>
      <c r="AT5" t="s">
        <v>83</v>
      </c>
      <c r="AU5">
        <v>1</v>
      </c>
      <c r="AV5">
        <v>1</v>
      </c>
      <c r="AW5" t="s">
        <v>57</v>
      </c>
      <c r="AX5" t="s">
        <v>58</v>
      </c>
      <c r="AY5" t="s">
        <v>59</v>
      </c>
      <c r="AZ5" t="s">
        <v>60</v>
      </c>
      <c r="BA5" t="s">
        <v>61</v>
      </c>
    </row>
    <row r="6" spans="1:56" x14ac:dyDescent="0.2">
      <c r="B6">
        <v>4</v>
      </c>
      <c r="C6">
        <v>4</v>
      </c>
      <c r="D6">
        <v>0</v>
      </c>
      <c r="G6" t="s">
        <v>94</v>
      </c>
      <c r="H6" t="s">
        <v>62</v>
      </c>
      <c r="I6" t="s">
        <v>77</v>
      </c>
      <c r="J6" t="s">
        <v>62</v>
      </c>
      <c r="K6" t="s">
        <v>95</v>
      </c>
      <c r="L6" t="s">
        <v>96</v>
      </c>
      <c r="M6" t="s">
        <v>80</v>
      </c>
      <c r="N6" t="s">
        <v>81</v>
      </c>
      <c r="O6" t="s">
        <v>81</v>
      </c>
      <c r="P6" t="s">
        <v>97</v>
      </c>
      <c r="Q6" t="s">
        <v>83</v>
      </c>
      <c r="U6">
        <v>0</v>
      </c>
      <c r="V6">
        <v>4</v>
      </c>
      <c r="W6">
        <v>4</v>
      </c>
      <c r="X6">
        <v>8</v>
      </c>
      <c r="Y6">
        <v>56.054467299999999</v>
      </c>
      <c r="AG6">
        <v>56.046001500000003</v>
      </c>
      <c r="AH6">
        <v>56.054467299999999</v>
      </c>
      <c r="AI6">
        <v>56.054467299999999</v>
      </c>
      <c r="AJ6">
        <v>56.054467299999999</v>
      </c>
      <c r="AK6">
        <v>1.6198300000000001E-3</v>
      </c>
      <c r="AL6">
        <v>60.209277999999998</v>
      </c>
      <c r="AM6" t="s">
        <v>62</v>
      </c>
      <c r="AN6" t="s">
        <v>95</v>
      </c>
      <c r="AO6" t="s">
        <v>96</v>
      </c>
      <c r="AP6" t="s">
        <v>80</v>
      </c>
      <c r="AQ6" t="s">
        <v>81</v>
      </c>
      <c r="AR6" t="s">
        <v>81</v>
      </c>
      <c r="AS6" t="s">
        <v>97</v>
      </c>
      <c r="AT6" t="s">
        <v>83</v>
      </c>
      <c r="AU6">
        <v>1</v>
      </c>
      <c r="AV6">
        <v>1</v>
      </c>
      <c r="AW6" t="s">
        <v>57</v>
      </c>
      <c r="AX6" t="s">
        <v>58</v>
      </c>
      <c r="AY6" t="s">
        <v>59</v>
      </c>
      <c r="AZ6" t="s">
        <v>60</v>
      </c>
      <c r="BA6" t="s">
        <v>61</v>
      </c>
    </row>
    <row r="7" spans="1:56" x14ac:dyDescent="0.2">
      <c r="B7">
        <v>5</v>
      </c>
      <c r="C7">
        <v>5</v>
      </c>
      <c r="D7">
        <v>0</v>
      </c>
      <c r="G7" t="s">
        <v>98</v>
      </c>
      <c r="H7" t="s">
        <v>66</v>
      </c>
      <c r="I7" t="s">
        <v>77</v>
      </c>
      <c r="J7" t="s">
        <v>66</v>
      </c>
      <c r="K7" t="s">
        <v>99</v>
      </c>
      <c r="L7" t="s">
        <v>100</v>
      </c>
      <c r="M7" t="s">
        <v>80</v>
      </c>
      <c r="N7" t="s">
        <v>81</v>
      </c>
      <c r="O7" t="s">
        <v>81</v>
      </c>
      <c r="P7" t="s">
        <v>101</v>
      </c>
      <c r="Q7" t="s">
        <v>83</v>
      </c>
      <c r="U7">
        <v>0</v>
      </c>
      <c r="V7">
        <v>5</v>
      </c>
      <c r="W7">
        <v>5</v>
      </c>
      <c r="X7">
        <v>7</v>
      </c>
      <c r="Y7">
        <v>60.2191695</v>
      </c>
      <c r="AG7">
        <v>60.211002899999997</v>
      </c>
      <c r="AH7">
        <v>60.2191695</v>
      </c>
      <c r="AI7">
        <v>60.2191695</v>
      </c>
      <c r="AJ7">
        <v>60.2191695</v>
      </c>
      <c r="AK7">
        <v>1.6455E-3</v>
      </c>
      <c r="AL7">
        <v>63.393674300000001</v>
      </c>
      <c r="AM7" t="s">
        <v>66</v>
      </c>
      <c r="AN7" t="s">
        <v>99</v>
      </c>
      <c r="AO7" t="s">
        <v>100</v>
      </c>
      <c r="AP7" t="s">
        <v>80</v>
      </c>
      <c r="AQ7" t="s">
        <v>81</v>
      </c>
      <c r="AR7" t="s">
        <v>81</v>
      </c>
      <c r="AS7" t="s">
        <v>101</v>
      </c>
      <c r="AT7" t="s">
        <v>83</v>
      </c>
      <c r="AU7">
        <v>1</v>
      </c>
      <c r="AV7">
        <v>1</v>
      </c>
      <c r="AW7" t="s">
        <v>57</v>
      </c>
      <c r="AX7" t="s">
        <v>58</v>
      </c>
      <c r="AY7" t="s">
        <v>59</v>
      </c>
      <c r="AZ7" t="s">
        <v>60</v>
      </c>
      <c r="BA7" t="s">
        <v>61</v>
      </c>
    </row>
    <row r="8" spans="1:56" x14ac:dyDescent="0.2">
      <c r="B8">
        <v>6</v>
      </c>
      <c r="C8">
        <v>6</v>
      </c>
      <c r="D8">
        <v>0</v>
      </c>
      <c r="G8" t="s">
        <v>102</v>
      </c>
      <c r="H8" t="s">
        <v>71</v>
      </c>
      <c r="I8" t="s">
        <v>77</v>
      </c>
      <c r="J8" t="s">
        <v>71</v>
      </c>
      <c r="K8" t="s">
        <v>103</v>
      </c>
      <c r="L8" t="s">
        <v>104</v>
      </c>
      <c r="M8" t="s">
        <v>80</v>
      </c>
      <c r="N8" t="s">
        <v>81</v>
      </c>
      <c r="O8" t="s">
        <v>81</v>
      </c>
      <c r="P8" t="s">
        <v>105</v>
      </c>
      <c r="Q8" t="s">
        <v>83</v>
      </c>
      <c r="U8">
        <v>0</v>
      </c>
      <c r="V8">
        <v>6</v>
      </c>
      <c r="W8">
        <v>6</v>
      </c>
      <c r="X8">
        <v>0</v>
      </c>
      <c r="Y8">
        <v>63.403071400000002</v>
      </c>
      <c r="AG8">
        <v>63.395377699999997</v>
      </c>
      <c r="AH8">
        <v>63.403071400000002</v>
      </c>
      <c r="AI8">
        <v>63.403071400000002</v>
      </c>
      <c r="AJ8">
        <v>63.403071400000002</v>
      </c>
      <c r="AK8">
        <v>1.6184999999999999E-3</v>
      </c>
      <c r="AL8">
        <v>70.677754800000002</v>
      </c>
      <c r="AM8" t="s">
        <v>71</v>
      </c>
      <c r="AN8" t="s">
        <v>103</v>
      </c>
      <c r="AO8" t="s">
        <v>104</v>
      </c>
      <c r="AP8" t="s">
        <v>80</v>
      </c>
      <c r="AQ8" t="s">
        <v>81</v>
      </c>
      <c r="AR8" t="s">
        <v>81</v>
      </c>
      <c r="AS8" t="s">
        <v>105</v>
      </c>
      <c r="AT8" t="s">
        <v>83</v>
      </c>
      <c r="AU8">
        <v>1</v>
      </c>
      <c r="AV8">
        <v>1</v>
      </c>
      <c r="AW8" t="s">
        <v>57</v>
      </c>
      <c r="AX8" t="s">
        <v>58</v>
      </c>
      <c r="AY8" t="s">
        <v>59</v>
      </c>
      <c r="AZ8" t="s">
        <v>60</v>
      </c>
      <c r="BA8" t="s">
        <v>61</v>
      </c>
    </row>
    <row r="9" spans="1:56" x14ac:dyDescent="0.2">
      <c r="B9">
        <v>7</v>
      </c>
      <c r="C9">
        <v>7</v>
      </c>
      <c r="D9">
        <v>0</v>
      </c>
      <c r="G9" t="s">
        <v>106</v>
      </c>
      <c r="H9" t="s">
        <v>74</v>
      </c>
      <c r="I9" t="s">
        <v>77</v>
      </c>
      <c r="J9" t="s">
        <v>74</v>
      </c>
      <c r="K9" t="s">
        <v>107</v>
      </c>
      <c r="L9" t="s">
        <v>96</v>
      </c>
      <c r="M9" t="s">
        <v>80</v>
      </c>
      <c r="N9" t="s">
        <v>81</v>
      </c>
      <c r="O9" t="s">
        <v>81</v>
      </c>
      <c r="P9" t="s">
        <v>108</v>
      </c>
      <c r="Q9" t="s">
        <v>83</v>
      </c>
      <c r="U9">
        <v>0</v>
      </c>
      <c r="V9">
        <v>7</v>
      </c>
      <c r="W9">
        <v>7</v>
      </c>
      <c r="X9">
        <v>12</v>
      </c>
      <c r="Y9">
        <v>70.703010000000006</v>
      </c>
      <c r="AG9">
        <v>70.679212300000003</v>
      </c>
      <c r="AH9">
        <v>70.703010000000006</v>
      </c>
      <c r="AI9">
        <v>70.703010000000006</v>
      </c>
      <c r="AJ9">
        <v>70.703010000000006</v>
      </c>
      <c r="AK9">
        <v>1.3759200000000001E-3</v>
      </c>
      <c r="AL9">
        <v>73.929522199999994</v>
      </c>
      <c r="AM9" t="s">
        <v>74</v>
      </c>
      <c r="AN9" t="s">
        <v>107</v>
      </c>
      <c r="AO9" t="s">
        <v>96</v>
      </c>
      <c r="AP9" t="s">
        <v>80</v>
      </c>
      <c r="AQ9" t="s">
        <v>81</v>
      </c>
      <c r="AR9" t="s">
        <v>81</v>
      </c>
      <c r="AS9" t="s">
        <v>108</v>
      </c>
      <c r="AT9" t="s">
        <v>83</v>
      </c>
      <c r="AU9">
        <v>1</v>
      </c>
      <c r="AV9">
        <v>1</v>
      </c>
      <c r="AW9" t="s">
        <v>57</v>
      </c>
      <c r="AX9" t="s">
        <v>58</v>
      </c>
      <c r="AY9" t="s">
        <v>59</v>
      </c>
      <c r="AZ9" t="s">
        <v>60</v>
      </c>
      <c r="BA9" t="s">
        <v>61</v>
      </c>
    </row>
    <row r="10" spans="1:56" x14ac:dyDescent="0.2">
      <c r="B10">
        <v>8</v>
      </c>
      <c r="C10">
        <v>8</v>
      </c>
      <c r="D10">
        <v>0</v>
      </c>
      <c r="G10" t="s">
        <v>109</v>
      </c>
      <c r="H10" t="s">
        <v>75</v>
      </c>
      <c r="I10" t="s">
        <v>77</v>
      </c>
      <c r="J10" t="s">
        <v>75</v>
      </c>
      <c r="K10" t="s">
        <v>110</v>
      </c>
      <c r="L10" t="s">
        <v>111</v>
      </c>
      <c r="M10" t="s">
        <v>80</v>
      </c>
      <c r="N10" t="s">
        <v>81</v>
      </c>
      <c r="O10" t="s">
        <v>81</v>
      </c>
      <c r="P10" t="s">
        <v>112</v>
      </c>
      <c r="Q10" t="s">
        <v>83</v>
      </c>
      <c r="U10">
        <v>0</v>
      </c>
      <c r="V10">
        <v>8</v>
      </c>
      <c r="W10">
        <v>8</v>
      </c>
      <c r="X10">
        <v>11</v>
      </c>
      <c r="Y10">
        <v>73.939370199999999</v>
      </c>
      <c r="AG10">
        <v>73.931138099999998</v>
      </c>
      <c r="AH10">
        <v>73.939370199999999</v>
      </c>
      <c r="AI10">
        <v>73.939370199999999</v>
      </c>
      <c r="AJ10">
        <v>73.939370199999999</v>
      </c>
      <c r="AK10">
        <v>1.5420399999999999E-3</v>
      </c>
      <c r="AL10">
        <v>78.961677600000002</v>
      </c>
      <c r="AM10" t="s">
        <v>75</v>
      </c>
      <c r="AN10" t="s">
        <v>110</v>
      </c>
      <c r="AO10" t="s">
        <v>111</v>
      </c>
      <c r="AP10" t="s">
        <v>80</v>
      </c>
      <c r="AQ10" t="s">
        <v>81</v>
      </c>
      <c r="AR10" t="s">
        <v>81</v>
      </c>
      <c r="AS10" t="s">
        <v>112</v>
      </c>
      <c r="AT10" t="s">
        <v>83</v>
      </c>
      <c r="AU10">
        <v>1</v>
      </c>
      <c r="AV10">
        <v>1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</row>
    <row r="11" spans="1:56" x14ac:dyDescent="0.2">
      <c r="B11">
        <v>9</v>
      </c>
      <c r="C11">
        <v>9</v>
      </c>
      <c r="D11">
        <v>0</v>
      </c>
      <c r="G11" t="s">
        <v>113</v>
      </c>
      <c r="H11" t="s">
        <v>70</v>
      </c>
      <c r="I11" t="s">
        <v>77</v>
      </c>
      <c r="J11" t="s">
        <v>114</v>
      </c>
      <c r="K11" t="s">
        <v>115</v>
      </c>
      <c r="L11" t="s">
        <v>116</v>
      </c>
      <c r="M11" t="s">
        <v>80</v>
      </c>
      <c r="N11" t="s">
        <v>81</v>
      </c>
      <c r="O11" t="s">
        <v>81</v>
      </c>
      <c r="P11" t="s">
        <v>117</v>
      </c>
      <c r="Q11" t="s">
        <v>83</v>
      </c>
      <c r="U11">
        <v>0</v>
      </c>
      <c r="V11">
        <v>9</v>
      </c>
      <c r="W11">
        <v>9</v>
      </c>
      <c r="X11">
        <v>9</v>
      </c>
      <c r="Y11">
        <v>78.972008599999995</v>
      </c>
      <c r="AG11">
        <v>78.963458500000002</v>
      </c>
      <c r="AH11">
        <v>78.972008599999995</v>
      </c>
      <c r="AI11">
        <v>78.972008599999995</v>
      </c>
      <c r="AJ11">
        <v>78.972008599999995</v>
      </c>
      <c r="AK11">
        <v>1.69779E-3</v>
      </c>
      <c r="AL11">
        <v>88.045321999999999</v>
      </c>
      <c r="AM11" t="s">
        <v>114</v>
      </c>
      <c r="AN11" t="s">
        <v>115</v>
      </c>
      <c r="AO11" t="s">
        <v>116</v>
      </c>
      <c r="AP11" t="s">
        <v>80</v>
      </c>
      <c r="AQ11" t="s">
        <v>81</v>
      </c>
      <c r="AR11" t="s">
        <v>81</v>
      </c>
      <c r="AS11" t="s">
        <v>117</v>
      </c>
      <c r="AT11" t="s">
        <v>83</v>
      </c>
      <c r="AU11">
        <v>1</v>
      </c>
      <c r="AV11">
        <v>1</v>
      </c>
      <c r="AW11" t="s">
        <v>57</v>
      </c>
      <c r="AX11" t="s">
        <v>58</v>
      </c>
      <c r="AY11" t="s">
        <v>59</v>
      </c>
      <c r="AZ11" t="s">
        <v>60</v>
      </c>
      <c r="BA11" t="s">
        <v>61</v>
      </c>
    </row>
    <row r="12" spans="1:56" x14ac:dyDescent="0.2">
      <c r="B12">
        <v>10</v>
      </c>
      <c r="C12">
        <v>10</v>
      </c>
      <c r="D12">
        <v>0</v>
      </c>
      <c r="G12" t="s">
        <v>118</v>
      </c>
      <c r="H12" t="s">
        <v>119</v>
      </c>
      <c r="I12" t="s">
        <v>120</v>
      </c>
      <c r="J12" t="s">
        <v>119</v>
      </c>
      <c r="K12" t="s">
        <v>121</v>
      </c>
      <c r="L12" t="s">
        <v>122</v>
      </c>
      <c r="M12" t="s">
        <v>80</v>
      </c>
      <c r="N12" t="s">
        <v>81</v>
      </c>
      <c r="O12" t="s">
        <v>81</v>
      </c>
      <c r="P12" t="s">
        <v>123</v>
      </c>
      <c r="Q12" t="s">
        <v>83</v>
      </c>
      <c r="U12">
        <v>0</v>
      </c>
      <c r="V12">
        <v>10</v>
      </c>
      <c r="W12">
        <v>10</v>
      </c>
      <c r="X12">
        <v>16</v>
      </c>
      <c r="Y12">
        <v>88.056673500000002</v>
      </c>
      <c r="AG12">
        <v>88.048006999999998</v>
      </c>
      <c r="AH12">
        <v>88.056673500000002</v>
      </c>
      <c r="AI12">
        <v>88.056673500000002</v>
      </c>
      <c r="AJ12">
        <v>88.056673500000002</v>
      </c>
      <c r="AK12">
        <v>2.60458E-3</v>
      </c>
      <c r="AL12">
        <v>93.077777499999996</v>
      </c>
      <c r="AM12" t="s">
        <v>119</v>
      </c>
      <c r="AN12" t="s">
        <v>121</v>
      </c>
      <c r="AO12" t="s">
        <v>122</v>
      </c>
      <c r="AP12" t="s">
        <v>80</v>
      </c>
      <c r="AQ12" t="s">
        <v>81</v>
      </c>
      <c r="AR12" t="s">
        <v>81</v>
      </c>
      <c r="AS12" t="s">
        <v>123</v>
      </c>
      <c r="AT12" t="s">
        <v>83</v>
      </c>
      <c r="AU12">
        <v>1</v>
      </c>
      <c r="AV12">
        <v>1</v>
      </c>
      <c r="AW12" t="s">
        <v>57</v>
      </c>
      <c r="AX12" t="s">
        <v>58</v>
      </c>
      <c r="AY12" t="s">
        <v>59</v>
      </c>
      <c r="AZ12" t="s">
        <v>60</v>
      </c>
      <c r="BA12" t="s">
        <v>61</v>
      </c>
    </row>
    <row r="13" spans="1:56" x14ac:dyDescent="0.2">
      <c r="B13">
        <v>11</v>
      </c>
      <c r="C13">
        <v>11</v>
      </c>
      <c r="D13">
        <v>0</v>
      </c>
      <c r="G13" t="s">
        <v>124</v>
      </c>
      <c r="H13" t="s">
        <v>125</v>
      </c>
      <c r="I13" t="s">
        <v>120</v>
      </c>
      <c r="J13" t="s">
        <v>126</v>
      </c>
      <c r="K13" t="s">
        <v>127</v>
      </c>
      <c r="L13" t="s">
        <v>128</v>
      </c>
      <c r="M13" t="s">
        <v>80</v>
      </c>
      <c r="N13" t="s">
        <v>81</v>
      </c>
      <c r="O13" t="s">
        <v>81</v>
      </c>
      <c r="P13" t="s">
        <v>129</v>
      </c>
      <c r="Q13" t="s">
        <v>83</v>
      </c>
      <c r="U13">
        <v>0</v>
      </c>
      <c r="V13">
        <v>11</v>
      </c>
      <c r="W13">
        <v>11</v>
      </c>
      <c r="X13">
        <v>14</v>
      </c>
      <c r="Y13">
        <v>93.103926000000001</v>
      </c>
      <c r="AG13">
        <v>93.079575399999996</v>
      </c>
      <c r="AH13">
        <v>93.103926000000001</v>
      </c>
      <c r="AI13">
        <v>93.103926000000001</v>
      </c>
      <c r="AJ13">
        <v>93.103926000000001</v>
      </c>
      <c r="AK13">
        <v>1.725E-3</v>
      </c>
      <c r="AL13">
        <v>103.657723</v>
      </c>
      <c r="AM13" t="s">
        <v>126</v>
      </c>
      <c r="AN13" t="s">
        <v>127</v>
      </c>
      <c r="AO13" t="s">
        <v>128</v>
      </c>
      <c r="AP13" t="s">
        <v>80</v>
      </c>
      <c r="AQ13" t="s">
        <v>81</v>
      </c>
      <c r="AR13" t="s">
        <v>81</v>
      </c>
      <c r="AS13" t="s">
        <v>129</v>
      </c>
      <c r="AT13" t="s">
        <v>83</v>
      </c>
      <c r="AU13">
        <v>103.09365200000001</v>
      </c>
      <c r="AV13">
        <v>1</v>
      </c>
      <c r="AW13">
        <v>1</v>
      </c>
      <c r="AX13" t="s">
        <v>57</v>
      </c>
      <c r="AY13" t="s">
        <v>58</v>
      </c>
      <c r="AZ13" t="s">
        <v>59</v>
      </c>
      <c r="BA13" t="s">
        <v>60</v>
      </c>
      <c r="BB13" t="s">
        <v>61</v>
      </c>
    </row>
    <row r="14" spans="1:56" x14ac:dyDescent="0.2">
      <c r="B14">
        <v>12</v>
      </c>
      <c r="C14">
        <v>12</v>
      </c>
      <c r="D14">
        <v>0</v>
      </c>
      <c r="G14" t="s">
        <v>130</v>
      </c>
      <c r="H14" t="s">
        <v>68</v>
      </c>
      <c r="I14" t="s">
        <v>77</v>
      </c>
      <c r="J14" t="s">
        <v>68</v>
      </c>
      <c r="K14" t="s">
        <v>131</v>
      </c>
      <c r="L14" t="s">
        <v>132</v>
      </c>
      <c r="M14" t="s">
        <v>80</v>
      </c>
      <c r="N14" t="s">
        <v>81</v>
      </c>
      <c r="O14" t="s">
        <v>81</v>
      </c>
      <c r="P14" t="s">
        <v>133</v>
      </c>
      <c r="Q14" t="s">
        <v>83</v>
      </c>
      <c r="U14">
        <v>0</v>
      </c>
      <c r="V14">
        <v>12</v>
      </c>
      <c r="W14">
        <v>12</v>
      </c>
      <c r="X14">
        <v>10</v>
      </c>
      <c r="Y14">
        <v>103.670669</v>
      </c>
      <c r="AG14">
        <v>103.659555</v>
      </c>
      <c r="AH14">
        <v>103.670669</v>
      </c>
      <c r="AI14">
        <v>103.670669</v>
      </c>
      <c r="AJ14">
        <v>103.670669</v>
      </c>
      <c r="AK14">
        <v>1.7505800000000001E-3</v>
      </c>
      <c r="AL14">
        <v>109.11419600000001</v>
      </c>
      <c r="AM14" t="s">
        <v>68</v>
      </c>
      <c r="AN14" t="s">
        <v>131</v>
      </c>
      <c r="AO14" t="s">
        <v>132</v>
      </c>
      <c r="AP14" t="s">
        <v>80</v>
      </c>
      <c r="AQ14" t="s">
        <v>81</v>
      </c>
      <c r="AR14" t="s">
        <v>81</v>
      </c>
      <c r="AS14" t="s">
        <v>133</v>
      </c>
      <c r="AT14" t="s">
        <v>83</v>
      </c>
      <c r="AU14">
        <v>1</v>
      </c>
      <c r="AV14">
        <v>1</v>
      </c>
      <c r="AW14" t="s">
        <v>57</v>
      </c>
      <c r="AX14" t="s">
        <v>58</v>
      </c>
      <c r="AY14" t="s">
        <v>59</v>
      </c>
      <c r="AZ14" t="s">
        <v>60</v>
      </c>
      <c r="BA14" t="s">
        <v>61</v>
      </c>
    </row>
    <row r="15" spans="1:56" x14ac:dyDescent="0.2">
      <c r="B15">
        <v>13</v>
      </c>
      <c r="C15">
        <v>13</v>
      </c>
      <c r="D15">
        <v>0</v>
      </c>
      <c r="G15" t="s">
        <v>134</v>
      </c>
      <c r="H15" t="s">
        <v>56</v>
      </c>
      <c r="I15" t="s">
        <v>77</v>
      </c>
      <c r="J15" t="s">
        <v>56</v>
      </c>
      <c r="K15" t="s">
        <v>135</v>
      </c>
      <c r="L15" t="s">
        <v>136</v>
      </c>
      <c r="M15" t="s">
        <v>80</v>
      </c>
      <c r="N15" t="s">
        <v>81</v>
      </c>
      <c r="O15" t="s">
        <v>81</v>
      </c>
      <c r="P15" t="s">
        <v>137</v>
      </c>
      <c r="Q15" t="s">
        <v>83</v>
      </c>
      <c r="U15">
        <v>0</v>
      </c>
      <c r="V15">
        <v>13</v>
      </c>
      <c r="W15">
        <v>13</v>
      </c>
      <c r="X15">
        <v>4</v>
      </c>
      <c r="Y15">
        <v>109.12406300000001</v>
      </c>
      <c r="AG15">
        <v>109.115911</v>
      </c>
      <c r="AH15">
        <v>109.12406300000001</v>
      </c>
      <c r="AI15">
        <v>109.12406300000001</v>
      </c>
      <c r="AJ15">
        <v>109.12406300000001</v>
      </c>
      <c r="AK15">
        <v>1.63225E-3</v>
      </c>
      <c r="AL15">
        <v>112.295804</v>
      </c>
      <c r="AM15" t="s">
        <v>56</v>
      </c>
      <c r="AN15" t="s">
        <v>135</v>
      </c>
      <c r="AO15" t="s">
        <v>136</v>
      </c>
      <c r="AP15" t="s">
        <v>80</v>
      </c>
      <c r="AQ15" t="s">
        <v>81</v>
      </c>
      <c r="AR15" t="s">
        <v>81</v>
      </c>
      <c r="AS15" t="s">
        <v>137</v>
      </c>
      <c r="AT15" t="s">
        <v>83</v>
      </c>
      <c r="AU15">
        <v>1</v>
      </c>
      <c r="AV15">
        <v>1</v>
      </c>
      <c r="AW15" t="s">
        <v>57</v>
      </c>
      <c r="AX15" t="s">
        <v>58</v>
      </c>
      <c r="AY15" t="s">
        <v>59</v>
      </c>
      <c r="AZ15" t="s">
        <v>60</v>
      </c>
      <c r="BA15" t="s">
        <v>61</v>
      </c>
    </row>
    <row r="16" spans="1:56" x14ac:dyDescent="0.2">
      <c r="B16">
        <v>14</v>
      </c>
      <c r="C16">
        <v>14</v>
      </c>
      <c r="D16">
        <v>0</v>
      </c>
      <c r="G16" t="s">
        <v>138</v>
      </c>
      <c r="H16" t="s">
        <v>72</v>
      </c>
      <c r="I16" t="s">
        <v>120</v>
      </c>
      <c r="J16" t="s">
        <v>72</v>
      </c>
      <c r="K16" t="s">
        <v>139</v>
      </c>
      <c r="L16" t="s">
        <v>140</v>
      </c>
      <c r="M16" t="s">
        <v>80</v>
      </c>
      <c r="N16" t="s">
        <v>81</v>
      </c>
      <c r="O16" t="s">
        <v>81</v>
      </c>
      <c r="P16" t="s">
        <v>141</v>
      </c>
      <c r="Q16" t="s">
        <v>83</v>
      </c>
      <c r="U16">
        <v>0</v>
      </c>
      <c r="V16">
        <v>14</v>
      </c>
      <c r="W16">
        <v>14</v>
      </c>
      <c r="X16">
        <v>19</v>
      </c>
      <c r="Y16">
        <v>112.32119</v>
      </c>
      <c r="AG16">
        <v>112.29746299999999</v>
      </c>
      <c r="AH16">
        <v>112.32119</v>
      </c>
      <c r="AI16">
        <v>112.32119</v>
      </c>
      <c r="AJ16">
        <v>112.32119</v>
      </c>
      <c r="AK16">
        <v>1.57233E-3</v>
      </c>
      <c r="AL16">
        <v>116.979079</v>
      </c>
      <c r="AM16" t="s">
        <v>72</v>
      </c>
      <c r="AN16" t="s">
        <v>139</v>
      </c>
      <c r="AO16" t="s">
        <v>140</v>
      </c>
      <c r="AP16" t="s">
        <v>80</v>
      </c>
      <c r="AQ16" t="s">
        <v>81</v>
      </c>
      <c r="AR16" t="s">
        <v>81</v>
      </c>
      <c r="AS16" t="s">
        <v>141</v>
      </c>
      <c r="AT16" t="s">
        <v>83</v>
      </c>
      <c r="AU16">
        <v>1</v>
      </c>
      <c r="AV16">
        <v>1</v>
      </c>
      <c r="AW16" t="s">
        <v>57</v>
      </c>
      <c r="AX16" t="s">
        <v>58</v>
      </c>
      <c r="AY16" t="s">
        <v>59</v>
      </c>
      <c r="AZ16" t="s">
        <v>60</v>
      </c>
      <c r="BA16" t="s">
        <v>61</v>
      </c>
    </row>
    <row r="17" spans="1:53" x14ac:dyDescent="0.2">
      <c r="B17">
        <v>15</v>
      </c>
      <c r="C17">
        <v>15</v>
      </c>
      <c r="D17">
        <v>0</v>
      </c>
      <c r="G17" t="s">
        <v>142</v>
      </c>
      <c r="H17" t="s">
        <v>143</v>
      </c>
      <c r="I17" t="s">
        <v>120</v>
      </c>
      <c r="J17" t="s">
        <v>143</v>
      </c>
      <c r="K17" t="s">
        <v>144</v>
      </c>
      <c r="L17" t="s">
        <v>145</v>
      </c>
      <c r="M17" t="s">
        <v>80</v>
      </c>
      <c r="N17" t="s">
        <v>81</v>
      </c>
      <c r="O17" t="s">
        <v>81</v>
      </c>
      <c r="P17" t="s">
        <v>146</v>
      </c>
      <c r="Q17" t="s">
        <v>83</v>
      </c>
      <c r="U17">
        <v>0</v>
      </c>
      <c r="V17">
        <v>15</v>
      </c>
      <c r="W17">
        <v>15</v>
      </c>
      <c r="X17">
        <v>15</v>
      </c>
      <c r="Y17">
        <v>117.00503999999999</v>
      </c>
      <c r="AG17">
        <v>116.980717</v>
      </c>
      <c r="AH17">
        <v>117.00503999999999</v>
      </c>
      <c r="AI17">
        <v>117.00503999999999</v>
      </c>
      <c r="AJ17">
        <v>117.00503999999999</v>
      </c>
      <c r="AK17">
        <v>1.5397900000000001E-3</v>
      </c>
      <c r="AL17">
        <v>120.962627</v>
      </c>
      <c r="AM17" t="s">
        <v>143</v>
      </c>
      <c r="AN17" t="s">
        <v>144</v>
      </c>
      <c r="AO17" t="s">
        <v>145</v>
      </c>
      <c r="AP17" t="s">
        <v>80</v>
      </c>
      <c r="AQ17" t="s">
        <v>81</v>
      </c>
      <c r="AR17" t="s">
        <v>81</v>
      </c>
      <c r="AS17" t="s">
        <v>146</v>
      </c>
      <c r="AT17" t="s">
        <v>83</v>
      </c>
      <c r="AU17">
        <v>1</v>
      </c>
      <c r="AV17">
        <v>1</v>
      </c>
      <c r="AW17" t="s">
        <v>57</v>
      </c>
      <c r="AX17" t="s">
        <v>58</v>
      </c>
      <c r="AY17" t="s">
        <v>59</v>
      </c>
      <c r="AZ17" t="s">
        <v>60</v>
      </c>
      <c r="BA17" t="s">
        <v>61</v>
      </c>
    </row>
    <row r="18" spans="1:53" x14ac:dyDescent="0.2">
      <c r="B18">
        <v>16</v>
      </c>
      <c r="C18">
        <v>16</v>
      </c>
      <c r="D18">
        <v>0</v>
      </c>
      <c r="G18" t="s">
        <v>147</v>
      </c>
      <c r="H18" t="s">
        <v>63</v>
      </c>
      <c r="I18" t="s">
        <v>77</v>
      </c>
      <c r="J18" t="s">
        <v>63</v>
      </c>
      <c r="K18" t="s">
        <v>148</v>
      </c>
      <c r="L18" t="s">
        <v>136</v>
      </c>
      <c r="M18" t="s">
        <v>80</v>
      </c>
      <c r="N18" t="s">
        <v>81</v>
      </c>
      <c r="O18" t="s">
        <v>81</v>
      </c>
      <c r="P18" t="s">
        <v>149</v>
      </c>
      <c r="Q18" t="s">
        <v>83</v>
      </c>
      <c r="U18">
        <v>0</v>
      </c>
      <c r="V18">
        <v>16</v>
      </c>
      <c r="W18">
        <v>16</v>
      </c>
      <c r="X18">
        <v>6</v>
      </c>
      <c r="Y18">
        <v>120.97292400000001</v>
      </c>
      <c r="AG18">
        <v>120.964404</v>
      </c>
      <c r="AH18">
        <v>120.97292400000001</v>
      </c>
      <c r="AI18">
        <v>120.97292400000001</v>
      </c>
      <c r="AJ18">
        <v>120.97292400000001</v>
      </c>
      <c r="AK18">
        <v>1.69158E-3</v>
      </c>
      <c r="AL18">
        <v>126.58145</v>
      </c>
      <c r="AM18" t="s">
        <v>63</v>
      </c>
      <c r="AN18" t="s">
        <v>148</v>
      </c>
      <c r="AO18" t="s">
        <v>136</v>
      </c>
      <c r="AP18" t="s">
        <v>80</v>
      </c>
      <c r="AQ18" t="s">
        <v>81</v>
      </c>
      <c r="AR18" t="s">
        <v>81</v>
      </c>
      <c r="AS18" t="s">
        <v>149</v>
      </c>
      <c r="AT18" t="s">
        <v>83</v>
      </c>
      <c r="AU18">
        <v>1</v>
      </c>
      <c r="AV18">
        <v>1</v>
      </c>
      <c r="AW18" t="s">
        <v>57</v>
      </c>
      <c r="AX18" t="s">
        <v>58</v>
      </c>
      <c r="AY18" t="s">
        <v>59</v>
      </c>
      <c r="AZ18" t="s">
        <v>60</v>
      </c>
      <c r="BA18" t="s">
        <v>61</v>
      </c>
    </row>
    <row r="19" spans="1:53" x14ac:dyDescent="0.2">
      <c r="B19">
        <v>17</v>
      </c>
      <c r="C19">
        <v>17</v>
      </c>
      <c r="D19">
        <v>0</v>
      </c>
      <c r="G19" t="s">
        <v>150</v>
      </c>
      <c r="H19" t="s">
        <v>151</v>
      </c>
      <c r="I19" t="s">
        <v>120</v>
      </c>
      <c r="J19" t="s">
        <v>151</v>
      </c>
      <c r="K19" t="s">
        <v>152</v>
      </c>
      <c r="L19" t="s">
        <v>104</v>
      </c>
      <c r="M19" t="s">
        <v>80</v>
      </c>
      <c r="N19" t="s">
        <v>81</v>
      </c>
      <c r="O19" t="s">
        <v>81</v>
      </c>
      <c r="P19" t="s">
        <v>153</v>
      </c>
      <c r="Q19" t="s">
        <v>83</v>
      </c>
      <c r="U19">
        <v>0</v>
      </c>
      <c r="V19">
        <v>17</v>
      </c>
      <c r="W19">
        <v>17</v>
      </c>
      <c r="X19">
        <v>17</v>
      </c>
      <c r="Y19">
        <v>126.591718</v>
      </c>
      <c r="AG19">
        <v>126.583343</v>
      </c>
      <c r="AH19">
        <v>126.591718</v>
      </c>
      <c r="AI19">
        <v>126.591718</v>
      </c>
      <c r="AJ19">
        <v>126.591718</v>
      </c>
      <c r="AK19">
        <v>1.81471E-3</v>
      </c>
      <c r="AL19">
        <v>132.07956300000001</v>
      </c>
      <c r="AM19" t="s">
        <v>151</v>
      </c>
      <c r="AN19" t="s">
        <v>152</v>
      </c>
      <c r="AO19" t="s">
        <v>104</v>
      </c>
      <c r="AP19" t="s">
        <v>80</v>
      </c>
      <c r="AQ19" t="s">
        <v>81</v>
      </c>
      <c r="AR19" t="s">
        <v>81</v>
      </c>
      <c r="AS19" t="s">
        <v>153</v>
      </c>
      <c r="AT19" t="s">
        <v>83</v>
      </c>
      <c r="AU19">
        <v>1</v>
      </c>
      <c r="AV19">
        <v>1</v>
      </c>
      <c r="AW19" t="s">
        <v>57</v>
      </c>
      <c r="AX19" t="s">
        <v>58</v>
      </c>
      <c r="AY19" t="s">
        <v>59</v>
      </c>
      <c r="AZ19" t="s">
        <v>60</v>
      </c>
      <c r="BA19" t="s">
        <v>61</v>
      </c>
    </row>
    <row r="20" spans="1:53" x14ac:dyDescent="0.2">
      <c r="B20">
        <v>18</v>
      </c>
      <c r="C20">
        <v>18</v>
      </c>
      <c r="D20">
        <v>0</v>
      </c>
      <c r="G20" t="s">
        <v>154</v>
      </c>
      <c r="H20" t="s">
        <v>155</v>
      </c>
      <c r="I20" t="s">
        <v>120</v>
      </c>
      <c r="J20" t="s">
        <v>155</v>
      </c>
      <c r="K20" t="s">
        <v>156</v>
      </c>
      <c r="L20" t="s">
        <v>157</v>
      </c>
      <c r="M20" t="s">
        <v>80</v>
      </c>
      <c r="N20" t="s">
        <v>81</v>
      </c>
      <c r="O20" t="s">
        <v>81</v>
      </c>
      <c r="P20" t="s">
        <v>158</v>
      </c>
      <c r="Q20" t="s">
        <v>83</v>
      </c>
      <c r="U20">
        <v>0</v>
      </c>
      <c r="V20">
        <v>18</v>
      </c>
      <c r="W20">
        <v>18</v>
      </c>
      <c r="X20">
        <v>18</v>
      </c>
      <c r="Y20">
        <v>132.09058200000001</v>
      </c>
      <c r="AG20">
        <v>132.08125200000001</v>
      </c>
      <c r="AH20">
        <v>132.09058200000001</v>
      </c>
      <c r="AI20">
        <v>132.09058200000001</v>
      </c>
      <c r="AJ20">
        <v>132.09058200000001</v>
      </c>
      <c r="AK20">
        <v>1.60483E-3</v>
      </c>
      <c r="AL20">
        <v>135.65959799999999</v>
      </c>
      <c r="AM20" t="s">
        <v>155</v>
      </c>
      <c r="AN20" t="s">
        <v>156</v>
      </c>
      <c r="AO20" t="s">
        <v>157</v>
      </c>
      <c r="AP20" t="s">
        <v>80</v>
      </c>
      <c r="AQ20" t="s">
        <v>81</v>
      </c>
      <c r="AR20" t="s">
        <v>81</v>
      </c>
      <c r="AS20" t="s">
        <v>158</v>
      </c>
      <c r="AT20" t="s">
        <v>83</v>
      </c>
      <c r="AU20">
        <v>1</v>
      </c>
      <c r="AV20">
        <v>1</v>
      </c>
      <c r="AW20" t="s">
        <v>57</v>
      </c>
      <c r="AX20" t="s">
        <v>58</v>
      </c>
      <c r="AY20" t="s">
        <v>59</v>
      </c>
      <c r="AZ20" t="s">
        <v>60</v>
      </c>
      <c r="BA20" t="s">
        <v>61</v>
      </c>
    </row>
    <row r="21" spans="1:53" x14ac:dyDescent="0.2">
      <c r="B21">
        <v>19</v>
      </c>
      <c r="C21">
        <v>19</v>
      </c>
      <c r="D21">
        <v>0</v>
      </c>
      <c r="G21" t="s">
        <v>159</v>
      </c>
      <c r="H21" t="s">
        <v>73</v>
      </c>
      <c r="I21" t="s">
        <v>77</v>
      </c>
      <c r="J21" t="s">
        <v>73</v>
      </c>
      <c r="K21" t="s">
        <v>144</v>
      </c>
      <c r="L21" t="s">
        <v>116</v>
      </c>
      <c r="M21" t="s">
        <v>80</v>
      </c>
      <c r="N21" t="s">
        <v>81</v>
      </c>
      <c r="O21" t="s">
        <v>81</v>
      </c>
      <c r="P21" t="s">
        <v>160</v>
      </c>
      <c r="Q21" t="s">
        <v>83</v>
      </c>
      <c r="U21">
        <v>0</v>
      </c>
      <c r="V21">
        <v>19</v>
      </c>
      <c r="W21">
        <v>19</v>
      </c>
      <c r="X21">
        <v>1</v>
      </c>
      <c r="Y21">
        <v>135.67169000000001</v>
      </c>
      <c r="AG21">
        <v>135.66136800000001</v>
      </c>
      <c r="AH21">
        <v>135.67169000000001</v>
      </c>
      <c r="AI21">
        <v>135.67169000000001</v>
      </c>
      <c r="AJ21">
        <v>135.67169000000001</v>
      </c>
      <c r="AK21">
        <v>1.6775399999999999E-3</v>
      </c>
      <c r="AL21">
        <v>140.17977099999999</v>
      </c>
      <c r="AM21" t="s">
        <v>73</v>
      </c>
      <c r="AN21" t="s">
        <v>144</v>
      </c>
      <c r="AO21" t="s">
        <v>116</v>
      </c>
      <c r="AP21" t="s">
        <v>80</v>
      </c>
      <c r="AQ21" t="s">
        <v>81</v>
      </c>
      <c r="AR21" t="s">
        <v>81</v>
      </c>
      <c r="AS21" t="s">
        <v>160</v>
      </c>
      <c r="AT21" t="s">
        <v>83</v>
      </c>
      <c r="AU21">
        <v>1</v>
      </c>
      <c r="AV21">
        <v>1</v>
      </c>
      <c r="AW21" t="s">
        <v>57</v>
      </c>
      <c r="AX21" t="s">
        <v>58</v>
      </c>
      <c r="AY21" t="s">
        <v>59</v>
      </c>
      <c r="AZ21" t="s">
        <v>60</v>
      </c>
      <c r="BA21" t="s">
        <v>61</v>
      </c>
    </row>
    <row r="25" spans="1:53" ht="19" x14ac:dyDescent="0.25">
      <c r="A25" s="9" t="s">
        <v>169</v>
      </c>
      <c r="B25" s="9"/>
      <c r="C25" s="9"/>
      <c r="D25" s="9"/>
    </row>
    <row r="27" spans="1:53" x14ac:dyDescent="0.2">
      <c r="A27" t="s">
        <v>6</v>
      </c>
      <c r="B27" t="s">
        <v>7</v>
      </c>
      <c r="C27" t="s">
        <v>8</v>
      </c>
      <c r="D27" t="s">
        <v>9</v>
      </c>
      <c r="F27" s="2"/>
      <c r="G27" s="8" t="s">
        <v>163</v>
      </c>
      <c r="H27" s="8"/>
      <c r="I27" s="5"/>
    </row>
    <row r="28" spans="1:53" x14ac:dyDescent="0.2">
      <c r="A28" t="s">
        <v>76</v>
      </c>
      <c r="B28" t="s">
        <v>65</v>
      </c>
      <c r="C28" t="s">
        <v>77</v>
      </c>
      <c r="D28" t="s">
        <v>65</v>
      </c>
      <c r="F28" s="2"/>
      <c r="G28" s="8" t="s">
        <v>164</v>
      </c>
      <c r="H28" s="8"/>
      <c r="I28" s="6"/>
    </row>
    <row r="29" spans="1:53" x14ac:dyDescent="0.2">
      <c r="A29" t="s">
        <v>84</v>
      </c>
      <c r="B29" t="s">
        <v>67</v>
      </c>
      <c r="C29" t="s">
        <v>77</v>
      </c>
      <c r="D29" t="s">
        <v>67</v>
      </c>
      <c r="F29" s="2"/>
      <c r="G29" s="2"/>
      <c r="H29" s="2"/>
      <c r="I29" s="2"/>
    </row>
    <row r="30" spans="1:53" x14ac:dyDescent="0.2">
      <c r="A30" t="s">
        <v>88</v>
      </c>
      <c r="B30" t="s">
        <v>69</v>
      </c>
      <c r="C30" t="s">
        <v>77</v>
      </c>
      <c r="D30" t="s">
        <v>69</v>
      </c>
      <c r="F30" s="8" t="s">
        <v>165</v>
      </c>
      <c r="G30" s="8"/>
      <c r="H30" s="8"/>
      <c r="I30" s="2">
        <v>14</v>
      </c>
    </row>
    <row r="31" spans="1:53" x14ac:dyDescent="0.2">
      <c r="A31" t="s">
        <v>91</v>
      </c>
      <c r="B31" t="s">
        <v>64</v>
      </c>
      <c r="C31" t="s">
        <v>77</v>
      </c>
      <c r="D31" t="s">
        <v>64</v>
      </c>
      <c r="F31" s="8" t="s">
        <v>166</v>
      </c>
      <c r="G31" s="8"/>
      <c r="H31" s="8"/>
      <c r="I31" s="2">
        <v>6</v>
      </c>
    </row>
    <row r="32" spans="1:53" x14ac:dyDescent="0.2">
      <c r="A32" t="s">
        <v>94</v>
      </c>
      <c r="B32" t="s">
        <v>62</v>
      </c>
      <c r="C32" t="s">
        <v>77</v>
      </c>
      <c r="D32" t="s">
        <v>62</v>
      </c>
      <c r="F32" s="8" t="s">
        <v>167</v>
      </c>
      <c r="G32" s="8"/>
      <c r="H32" s="8"/>
      <c r="I32" s="2">
        <v>20</v>
      </c>
    </row>
    <row r="33" spans="1:9" x14ac:dyDescent="0.2">
      <c r="A33" t="s">
        <v>98</v>
      </c>
      <c r="B33" t="s">
        <v>66</v>
      </c>
      <c r="C33" t="s">
        <v>77</v>
      </c>
      <c r="D33" t="s">
        <v>66</v>
      </c>
    </row>
    <row r="34" spans="1:9" x14ac:dyDescent="0.2">
      <c r="A34" t="s">
        <v>102</v>
      </c>
      <c r="B34" t="s">
        <v>71</v>
      </c>
      <c r="C34" t="s">
        <v>77</v>
      </c>
      <c r="D34" t="s">
        <v>71</v>
      </c>
    </row>
    <row r="35" spans="1:9" x14ac:dyDescent="0.2">
      <c r="A35" t="s">
        <v>106</v>
      </c>
      <c r="B35" t="s">
        <v>74</v>
      </c>
      <c r="C35" t="s">
        <v>77</v>
      </c>
      <c r="D35" t="s">
        <v>74</v>
      </c>
    </row>
    <row r="36" spans="1:9" x14ac:dyDescent="0.2">
      <c r="A36" t="s">
        <v>109</v>
      </c>
      <c r="B36" t="s">
        <v>75</v>
      </c>
      <c r="C36" t="s">
        <v>77</v>
      </c>
      <c r="D36" t="s">
        <v>75</v>
      </c>
    </row>
    <row r="37" spans="1:9" x14ac:dyDescent="0.2">
      <c r="A37" s="3" t="s">
        <v>113</v>
      </c>
      <c r="B37" s="3" t="s">
        <v>70</v>
      </c>
      <c r="C37" s="3" t="s">
        <v>77</v>
      </c>
      <c r="D37" s="3" t="s">
        <v>114</v>
      </c>
    </row>
    <row r="38" spans="1:9" x14ac:dyDescent="0.2">
      <c r="A38" t="s">
        <v>118</v>
      </c>
      <c r="B38" t="s">
        <v>119</v>
      </c>
      <c r="C38" t="s">
        <v>120</v>
      </c>
      <c r="D38" t="s">
        <v>119</v>
      </c>
    </row>
    <row r="39" spans="1:9" x14ac:dyDescent="0.2">
      <c r="A39" s="4" t="s">
        <v>124</v>
      </c>
      <c r="B39" s="4" t="s">
        <v>125</v>
      </c>
      <c r="C39" s="4" t="s">
        <v>120</v>
      </c>
      <c r="D39" s="4" t="s">
        <v>126</v>
      </c>
    </row>
    <row r="40" spans="1:9" x14ac:dyDescent="0.2">
      <c r="A40" t="s">
        <v>130</v>
      </c>
      <c r="B40" t="s">
        <v>68</v>
      </c>
      <c r="C40" t="s">
        <v>77</v>
      </c>
      <c r="D40" t="s">
        <v>68</v>
      </c>
    </row>
    <row r="41" spans="1:9" x14ac:dyDescent="0.2">
      <c r="A41" t="s">
        <v>134</v>
      </c>
      <c r="B41" t="s">
        <v>56</v>
      </c>
      <c r="C41" t="s">
        <v>77</v>
      </c>
      <c r="D41" t="s">
        <v>56</v>
      </c>
      <c r="F41" s="8" t="s">
        <v>168</v>
      </c>
      <c r="G41" s="8"/>
      <c r="H41" s="8"/>
      <c r="I41" s="7">
        <f>13/14</f>
        <v>0.9285714285714286</v>
      </c>
    </row>
    <row r="42" spans="1:9" x14ac:dyDescent="0.2">
      <c r="A42" t="s">
        <v>138</v>
      </c>
      <c r="B42" t="s">
        <v>72</v>
      </c>
      <c r="C42" t="s">
        <v>120</v>
      </c>
      <c r="D42" t="s">
        <v>72</v>
      </c>
      <c r="F42" s="8" t="s">
        <v>161</v>
      </c>
      <c r="G42" s="8"/>
      <c r="H42" s="8"/>
      <c r="I42" s="7">
        <f>5/6</f>
        <v>0.83333333333333337</v>
      </c>
    </row>
    <row r="43" spans="1:9" x14ac:dyDescent="0.2">
      <c r="A43" t="s">
        <v>142</v>
      </c>
      <c r="B43" t="s">
        <v>143</v>
      </c>
      <c r="C43" t="s">
        <v>120</v>
      </c>
      <c r="D43" t="s">
        <v>143</v>
      </c>
      <c r="F43" s="2"/>
      <c r="G43" s="2"/>
      <c r="H43" s="2"/>
      <c r="I43" s="1"/>
    </row>
    <row r="44" spans="1:9" x14ac:dyDescent="0.2">
      <c r="A44" t="s">
        <v>147</v>
      </c>
      <c r="B44" t="s">
        <v>63</v>
      </c>
      <c r="C44" t="s">
        <v>77</v>
      </c>
      <c r="D44" t="s">
        <v>63</v>
      </c>
      <c r="F44" s="8" t="s">
        <v>162</v>
      </c>
      <c r="G44" s="8"/>
      <c r="H44" s="8"/>
      <c r="I44" s="7">
        <f>I41-I42</f>
        <v>9.5238095238095233E-2</v>
      </c>
    </row>
    <row r="45" spans="1:9" x14ac:dyDescent="0.2">
      <c r="A45" t="s">
        <v>150</v>
      </c>
      <c r="B45" t="s">
        <v>151</v>
      </c>
      <c r="C45" t="s">
        <v>120</v>
      </c>
      <c r="D45" t="s">
        <v>151</v>
      </c>
    </row>
    <row r="46" spans="1:9" x14ac:dyDescent="0.2">
      <c r="A46" t="s">
        <v>154</v>
      </c>
      <c r="B46" t="s">
        <v>155</v>
      </c>
      <c r="C46" t="s">
        <v>120</v>
      </c>
      <c r="D46" t="s">
        <v>155</v>
      </c>
    </row>
    <row r="47" spans="1:9" x14ac:dyDescent="0.2">
      <c r="A47" t="s">
        <v>159</v>
      </c>
      <c r="B47" t="s">
        <v>73</v>
      </c>
      <c r="C47" t="s">
        <v>77</v>
      </c>
      <c r="D47" t="s">
        <v>73</v>
      </c>
    </row>
  </sheetData>
  <mergeCells count="9">
    <mergeCell ref="F41:H41"/>
    <mergeCell ref="F42:H42"/>
    <mergeCell ref="F44:H44"/>
    <mergeCell ref="A25:D25"/>
    <mergeCell ref="G27:H27"/>
    <mergeCell ref="G28:H28"/>
    <mergeCell ref="F31:H31"/>
    <mergeCell ref="F30:H30"/>
    <mergeCell ref="F32:H3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6662-9675-704B-B5B8-F21EE18A574E}">
  <dimension ref="A1:BD47"/>
  <sheetViews>
    <sheetView topLeftCell="A16" workbookViewId="0">
      <selection activeCell="H49" sqref="H49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B2">
        <v>0</v>
      </c>
      <c r="C2">
        <v>0</v>
      </c>
      <c r="D2">
        <v>0</v>
      </c>
      <c r="G2" t="s">
        <v>113</v>
      </c>
      <c r="H2" t="s">
        <v>70</v>
      </c>
      <c r="I2" t="s">
        <v>77</v>
      </c>
      <c r="J2" t="s">
        <v>70</v>
      </c>
      <c r="K2" t="s">
        <v>277</v>
      </c>
      <c r="L2" t="s">
        <v>122</v>
      </c>
      <c r="M2" t="s">
        <v>80</v>
      </c>
      <c r="N2" t="s">
        <v>81</v>
      </c>
      <c r="O2" t="s">
        <v>81</v>
      </c>
      <c r="P2" t="s">
        <v>278</v>
      </c>
      <c r="Q2" t="s">
        <v>83</v>
      </c>
      <c r="U2">
        <v>0</v>
      </c>
      <c r="V2">
        <v>0</v>
      </c>
      <c r="W2">
        <v>0</v>
      </c>
      <c r="X2">
        <v>9</v>
      </c>
      <c r="Y2">
        <v>21.012823399999998</v>
      </c>
      <c r="AG2">
        <v>21.003708700000001</v>
      </c>
      <c r="AH2">
        <v>21.012823399999998</v>
      </c>
      <c r="AI2">
        <v>21.012823399999998</v>
      </c>
      <c r="AJ2">
        <v>21.012823399999998</v>
      </c>
      <c r="AK2">
        <v>5.1404600000000003E-3</v>
      </c>
      <c r="AL2">
        <v>27.7412116</v>
      </c>
      <c r="AM2" t="s">
        <v>70</v>
      </c>
      <c r="AN2" t="s">
        <v>277</v>
      </c>
      <c r="AO2" t="s">
        <v>122</v>
      </c>
      <c r="AP2" t="s">
        <v>80</v>
      </c>
      <c r="AQ2" t="s">
        <v>81</v>
      </c>
      <c r="AR2" t="s">
        <v>81</v>
      </c>
      <c r="AS2" t="s">
        <v>278</v>
      </c>
      <c r="AT2" t="s">
        <v>83</v>
      </c>
      <c r="AU2">
        <v>5</v>
      </c>
      <c r="AV2">
        <v>1</v>
      </c>
      <c r="AW2" t="s">
        <v>275</v>
      </c>
      <c r="AX2" t="s">
        <v>58</v>
      </c>
      <c r="AY2" t="s">
        <v>59</v>
      </c>
      <c r="AZ2">
        <v>120.518773</v>
      </c>
      <c r="BA2" t="s">
        <v>276</v>
      </c>
    </row>
    <row r="3" spans="1:56" x14ac:dyDescent="0.2">
      <c r="B3">
        <v>1</v>
      </c>
      <c r="C3">
        <v>1</v>
      </c>
      <c r="D3">
        <v>0</v>
      </c>
      <c r="G3" t="s">
        <v>154</v>
      </c>
      <c r="H3" t="s">
        <v>155</v>
      </c>
      <c r="I3" t="s">
        <v>120</v>
      </c>
      <c r="K3" t="s">
        <v>207</v>
      </c>
      <c r="L3" t="s">
        <v>173</v>
      </c>
      <c r="M3" t="s">
        <v>80</v>
      </c>
      <c r="N3" t="s">
        <v>81</v>
      </c>
      <c r="O3" t="s">
        <v>81</v>
      </c>
      <c r="P3" t="s">
        <v>279</v>
      </c>
      <c r="Q3" t="s">
        <v>83</v>
      </c>
      <c r="U3">
        <v>0</v>
      </c>
      <c r="V3">
        <v>1</v>
      </c>
      <c r="W3">
        <v>1</v>
      </c>
      <c r="X3">
        <v>18</v>
      </c>
      <c r="Y3">
        <v>27.7524911</v>
      </c>
      <c r="AG3">
        <v>27.743573000000001</v>
      </c>
      <c r="AH3">
        <v>27.7524911</v>
      </c>
      <c r="AI3">
        <v>27.7524911</v>
      </c>
      <c r="AJ3">
        <v>27.7524911</v>
      </c>
      <c r="AK3">
        <v>2.2067499999999999E-3</v>
      </c>
      <c r="AL3">
        <v>31.2230615</v>
      </c>
      <c r="AN3" t="s">
        <v>207</v>
      </c>
      <c r="AO3" t="s">
        <v>173</v>
      </c>
      <c r="AP3" t="s">
        <v>80</v>
      </c>
      <c r="AQ3" t="s">
        <v>81</v>
      </c>
      <c r="AR3" t="s">
        <v>81</v>
      </c>
      <c r="AS3" t="s">
        <v>279</v>
      </c>
      <c r="AT3" t="s">
        <v>83</v>
      </c>
      <c r="AU3">
        <v>5</v>
      </c>
      <c r="AV3">
        <v>1</v>
      </c>
      <c r="AW3" t="s">
        <v>275</v>
      </c>
      <c r="AX3" t="s">
        <v>58</v>
      </c>
      <c r="AY3" t="s">
        <v>59</v>
      </c>
      <c r="AZ3">
        <v>120.518773</v>
      </c>
      <c r="BA3" t="s">
        <v>276</v>
      </c>
    </row>
    <row r="4" spans="1:56" x14ac:dyDescent="0.2">
      <c r="B4">
        <v>2</v>
      </c>
      <c r="C4">
        <v>2</v>
      </c>
      <c r="D4">
        <v>0</v>
      </c>
      <c r="G4" t="s">
        <v>150</v>
      </c>
      <c r="H4" t="s">
        <v>151</v>
      </c>
      <c r="I4" t="s">
        <v>120</v>
      </c>
      <c r="J4" t="s">
        <v>151</v>
      </c>
      <c r="K4" t="s">
        <v>280</v>
      </c>
      <c r="L4" t="s">
        <v>227</v>
      </c>
      <c r="M4" t="s">
        <v>80</v>
      </c>
      <c r="N4" t="s">
        <v>81</v>
      </c>
      <c r="O4" t="s">
        <v>81</v>
      </c>
      <c r="P4" t="s">
        <v>281</v>
      </c>
      <c r="Q4" t="s">
        <v>83</v>
      </c>
      <c r="U4">
        <v>0</v>
      </c>
      <c r="V4">
        <v>2</v>
      </c>
      <c r="W4">
        <v>2</v>
      </c>
      <c r="X4">
        <v>17</v>
      </c>
      <c r="Y4">
        <v>31.232040099999999</v>
      </c>
      <c r="AG4">
        <v>31.224575999999999</v>
      </c>
      <c r="AH4">
        <v>31.232040099999999</v>
      </c>
      <c r="AI4">
        <v>31.232040099999999</v>
      </c>
      <c r="AJ4">
        <v>31.232040099999999</v>
      </c>
      <c r="AK4">
        <v>1.4101700000000001E-3</v>
      </c>
      <c r="AL4">
        <v>35.324176799999996</v>
      </c>
      <c r="AM4" t="s">
        <v>151</v>
      </c>
      <c r="AN4" t="s">
        <v>280</v>
      </c>
      <c r="AO4" t="s">
        <v>227</v>
      </c>
      <c r="AP4" t="s">
        <v>80</v>
      </c>
      <c r="AQ4" t="s">
        <v>81</v>
      </c>
      <c r="AR4" t="s">
        <v>81</v>
      </c>
      <c r="AS4" t="s">
        <v>281</v>
      </c>
      <c r="AT4" t="s">
        <v>83</v>
      </c>
      <c r="AU4">
        <v>5</v>
      </c>
      <c r="AV4">
        <v>1</v>
      </c>
      <c r="AW4" t="s">
        <v>275</v>
      </c>
      <c r="AX4" t="s">
        <v>58</v>
      </c>
      <c r="AY4" t="s">
        <v>59</v>
      </c>
      <c r="AZ4">
        <v>120.518773</v>
      </c>
      <c r="BA4" t="s">
        <v>276</v>
      </c>
    </row>
    <row r="5" spans="1:56" x14ac:dyDescent="0.2">
      <c r="B5">
        <v>3</v>
      </c>
      <c r="C5">
        <v>3</v>
      </c>
      <c r="D5">
        <v>0</v>
      </c>
      <c r="G5" t="s">
        <v>91</v>
      </c>
      <c r="H5" t="s">
        <v>64</v>
      </c>
      <c r="I5" t="s">
        <v>77</v>
      </c>
      <c r="J5" t="s">
        <v>64</v>
      </c>
      <c r="K5" t="s">
        <v>99</v>
      </c>
      <c r="L5" t="s">
        <v>172</v>
      </c>
      <c r="M5" t="s">
        <v>80</v>
      </c>
      <c r="N5" t="s">
        <v>81</v>
      </c>
      <c r="O5" t="s">
        <v>81</v>
      </c>
      <c r="P5" t="s">
        <v>282</v>
      </c>
      <c r="Q5" t="s">
        <v>83</v>
      </c>
      <c r="U5">
        <v>0</v>
      </c>
      <c r="V5">
        <v>3</v>
      </c>
      <c r="W5">
        <v>3</v>
      </c>
      <c r="X5">
        <v>5</v>
      </c>
      <c r="Y5">
        <v>35.335360899999998</v>
      </c>
      <c r="AG5">
        <v>35.325947999999997</v>
      </c>
      <c r="AH5">
        <v>35.335360899999998</v>
      </c>
      <c r="AI5">
        <v>35.335360899999998</v>
      </c>
      <c r="AJ5">
        <v>35.335360899999998</v>
      </c>
      <c r="AK5">
        <v>1.6669600000000001E-3</v>
      </c>
      <c r="AL5">
        <v>39.441130800000003</v>
      </c>
      <c r="AM5" t="s">
        <v>64</v>
      </c>
      <c r="AN5" t="s">
        <v>99</v>
      </c>
      <c r="AO5" t="s">
        <v>172</v>
      </c>
      <c r="AP5" t="s">
        <v>80</v>
      </c>
      <c r="AQ5" t="s">
        <v>81</v>
      </c>
      <c r="AR5" t="s">
        <v>81</v>
      </c>
      <c r="AS5" t="s">
        <v>282</v>
      </c>
      <c r="AT5" t="s">
        <v>83</v>
      </c>
      <c r="AU5">
        <v>5</v>
      </c>
      <c r="AV5">
        <v>1</v>
      </c>
      <c r="AW5" t="s">
        <v>275</v>
      </c>
      <c r="AX5" t="s">
        <v>58</v>
      </c>
      <c r="AY5" t="s">
        <v>59</v>
      </c>
      <c r="AZ5">
        <v>120.518773</v>
      </c>
      <c r="BA5" t="s">
        <v>276</v>
      </c>
    </row>
    <row r="6" spans="1:56" x14ac:dyDescent="0.2">
      <c r="B6">
        <v>4</v>
      </c>
      <c r="C6">
        <v>4</v>
      </c>
      <c r="D6">
        <v>0</v>
      </c>
      <c r="G6" t="s">
        <v>88</v>
      </c>
      <c r="H6" t="s">
        <v>69</v>
      </c>
      <c r="I6" t="s">
        <v>77</v>
      </c>
      <c r="J6" t="s">
        <v>69</v>
      </c>
      <c r="K6" t="s">
        <v>283</v>
      </c>
      <c r="L6" t="s">
        <v>208</v>
      </c>
      <c r="M6" t="s">
        <v>80</v>
      </c>
      <c r="N6" t="s">
        <v>81</v>
      </c>
      <c r="O6" t="s">
        <v>81</v>
      </c>
      <c r="P6" t="s">
        <v>284</v>
      </c>
      <c r="Q6" t="s">
        <v>83</v>
      </c>
      <c r="U6">
        <v>0</v>
      </c>
      <c r="V6">
        <v>4</v>
      </c>
      <c r="W6">
        <v>4</v>
      </c>
      <c r="X6">
        <v>13</v>
      </c>
      <c r="Y6">
        <v>39.452173999999999</v>
      </c>
      <c r="AG6">
        <v>39.443404200000003</v>
      </c>
      <c r="AH6">
        <v>39.452173999999999</v>
      </c>
      <c r="AI6">
        <v>39.452173999999999</v>
      </c>
      <c r="AJ6">
        <v>39.452173999999999</v>
      </c>
      <c r="AK6">
        <v>2.1700000000000001E-3</v>
      </c>
      <c r="AL6">
        <v>47.108107599999997</v>
      </c>
      <c r="AM6" t="s">
        <v>69</v>
      </c>
      <c r="AN6" t="s">
        <v>283</v>
      </c>
      <c r="AO6" t="s">
        <v>208</v>
      </c>
      <c r="AP6" t="s">
        <v>80</v>
      </c>
      <c r="AQ6" t="s">
        <v>81</v>
      </c>
      <c r="AR6" t="s">
        <v>81</v>
      </c>
      <c r="AS6" t="s">
        <v>284</v>
      </c>
      <c r="AT6" t="s">
        <v>83</v>
      </c>
      <c r="AU6">
        <v>5</v>
      </c>
      <c r="AV6">
        <v>1</v>
      </c>
      <c r="AW6" t="s">
        <v>275</v>
      </c>
      <c r="AX6" t="s">
        <v>58</v>
      </c>
      <c r="AY6" t="s">
        <v>59</v>
      </c>
      <c r="AZ6">
        <v>120.518773</v>
      </c>
      <c r="BA6" t="s">
        <v>276</v>
      </c>
    </row>
    <row r="7" spans="1:56" x14ac:dyDescent="0.2">
      <c r="B7">
        <v>5</v>
      </c>
      <c r="C7">
        <v>5</v>
      </c>
      <c r="D7">
        <v>0</v>
      </c>
      <c r="G7" t="s">
        <v>98</v>
      </c>
      <c r="H7" t="s">
        <v>66</v>
      </c>
      <c r="I7" t="s">
        <v>77</v>
      </c>
      <c r="J7" t="s">
        <v>66</v>
      </c>
      <c r="K7" t="s">
        <v>210</v>
      </c>
      <c r="L7" t="s">
        <v>285</v>
      </c>
      <c r="M7" t="s">
        <v>80</v>
      </c>
      <c r="N7" t="s">
        <v>81</v>
      </c>
      <c r="O7" t="s">
        <v>81</v>
      </c>
      <c r="P7" t="s">
        <v>286</v>
      </c>
      <c r="Q7" t="s">
        <v>83</v>
      </c>
      <c r="U7">
        <v>0</v>
      </c>
      <c r="V7">
        <v>5</v>
      </c>
      <c r="W7">
        <v>5</v>
      </c>
      <c r="X7">
        <v>7</v>
      </c>
      <c r="Y7">
        <v>47.119815500000001</v>
      </c>
      <c r="AG7">
        <v>47.110344099999999</v>
      </c>
      <c r="AH7">
        <v>47.119815500000001</v>
      </c>
      <c r="AI7">
        <v>47.119815500000001</v>
      </c>
      <c r="AJ7">
        <v>47.119815500000001</v>
      </c>
      <c r="AK7">
        <v>2.1306699999999999E-3</v>
      </c>
      <c r="AL7">
        <v>50.757437600000003</v>
      </c>
      <c r="AM7" t="s">
        <v>66</v>
      </c>
      <c r="AN7" t="s">
        <v>210</v>
      </c>
      <c r="AO7" t="s">
        <v>285</v>
      </c>
      <c r="AP7" t="s">
        <v>80</v>
      </c>
      <c r="AQ7" t="s">
        <v>81</v>
      </c>
      <c r="AR7" t="s">
        <v>81</v>
      </c>
      <c r="AS7" t="s">
        <v>286</v>
      </c>
      <c r="AT7" t="s">
        <v>83</v>
      </c>
      <c r="AU7">
        <v>5</v>
      </c>
      <c r="AV7">
        <v>1</v>
      </c>
      <c r="AW7" t="s">
        <v>275</v>
      </c>
      <c r="AX7" t="s">
        <v>58</v>
      </c>
      <c r="AY7" t="s">
        <v>59</v>
      </c>
      <c r="AZ7">
        <v>120.518773</v>
      </c>
      <c r="BA7" t="s">
        <v>276</v>
      </c>
    </row>
    <row r="8" spans="1:56" x14ac:dyDescent="0.2">
      <c r="B8">
        <v>6</v>
      </c>
      <c r="C8">
        <v>6</v>
      </c>
      <c r="D8">
        <v>0</v>
      </c>
      <c r="G8" t="s">
        <v>84</v>
      </c>
      <c r="H8" t="s">
        <v>67</v>
      </c>
      <c r="I8" t="s">
        <v>77</v>
      </c>
      <c r="J8" t="s">
        <v>67</v>
      </c>
      <c r="K8" t="s">
        <v>287</v>
      </c>
      <c r="L8" t="s">
        <v>111</v>
      </c>
      <c r="M8" t="s">
        <v>80</v>
      </c>
      <c r="N8" t="s">
        <v>81</v>
      </c>
      <c r="O8" t="s">
        <v>81</v>
      </c>
      <c r="P8" t="s">
        <v>288</v>
      </c>
      <c r="Q8" t="s">
        <v>83</v>
      </c>
      <c r="U8">
        <v>0</v>
      </c>
      <c r="V8">
        <v>6</v>
      </c>
      <c r="W8">
        <v>6</v>
      </c>
      <c r="X8">
        <v>2</v>
      </c>
      <c r="Y8">
        <v>50.768854699999999</v>
      </c>
      <c r="AG8">
        <v>50.759657300000001</v>
      </c>
      <c r="AH8">
        <v>50.768854699999999</v>
      </c>
      <c r="AI8">
        <v>50.768854699999999</v>
      </c>
      <c r="AJ8">
        <v>50.768854699999999</v>
      </c>
      <c r="AK8">
        <v>2.10742E-3</v>
      </c>
      <c r="AL8">
        <v>54.291339299999997</v>
      </c>
      <c r="AM8" t="s">
        <v>67</v>
      </c>
      <c r="AN8" t="s">
        <v>287</v>
      </c>
      <c r="AO8" t="s">
        <v>111</v>
      </c>
      <c r="AP8" t="s">
        <v>80</v>
      </c>
      <c r="AQ8" t="s">
        <v>81</v>
      </c>
      <c r="AR8" t="s">
        <v>81</v>
      </c>
      <c r="AS8" t="s">
        <v>288</v>
      </c>
      <c r="AT8" t="s">
        <v>83</v>
      </c>
      <c r="AU8">
        <v>5</v>
      </c>
      <c r="AV8">
        <v>1</v>
      </c>
      <c r="AW8" t="s">
        <v>275</v>
      </c>
      <c r="AX8" t="s">
        <v>58</v>
      </c>
      <c r="AY8" t="s">
        <v>59</v>
      </c>
      <c r="AZ8">
        <v>120.518773</v>
      </c>
      <c r="BA8" t="s">
        <v>276</v>
      </c>
    </row>
    <row r="9" spans="1:56" x14ac:dyDescent="0.2">
      <c r="B9">
        <v>7</v>
      </c>
      <c r="C9">
        <v>7</v>
      </c>
      <c r="D9">
        <v>0</v>
      </c>
      <c r="G9" t="s">
        <v>147</v>
      </c>
      <c r="H9" t="s">
        <v>63</v>
      </c>
      <c r="I9" t="s">
        <v>77</v>
      </c>
      <c r="J9" t="s">
        <v>289</v>
      </c>
      <c r="K9" t="s">
        <v>243</v>
      </c>
      <c r="L9" t="s">
        <v>157</v>
      </c>
      <c r="M9" t="s">
        <v>80</v>
      </c>
      <c r="N9" t="s">
        <v>81</v>
      </c>
      <c r="O9" t="s">
        <v>81</v>
      </c>
      <c r="P9" t="s">
        <v>290</v>
      </c>
      <c r="Q9" t="s">
        <v>83</v>
      </c>
      <c r="U9">
        <v>0</v>
      </c>
      <c r="V9">
        <v>7</v>
      </c>
      <c r="W9">
        <v>7</v>
      </c>
      <c r="X9">
        <v>6</v>
      </c>
      <c r="Y9">
        <v>54.302511299999999</v>
      </c>
      <c r="AG9">
        <v>54.293671000000003</v>
      </c>
      <c r="AH9">
        <v>54.302511299999999</v>
      </c>
      <c r="AI9">
        <v>54.302511299999999</v>
      </c>
      <c r="AJ9">
        <v>54.302511299999999</v>
      </c>
      <c r="AK9">
        <v>2.2284599999999998E-3</v>
      </c>
      <c r="AL9">
        <v>60.108232999999998</v>
      </c>
      <c r="AM9" t="s">
        <v>289</v>
      </c>
      <c r="AN9" t="s">
        <v>243</v>
      </c>
      <c r="AO9" t="s">
        <v>157</v>
      </c>
      <c r="AP9" t="s">
        <v>80</v>
      </c>
      <c r="AQ9" t="s">
        <v>81</v>
      </c>
      <c r="AR9" t="s">
        <v>81</v>
      </c>
      <c r="AS9" t="s">
        <v>290</v>
      </c>
      <c r="AT9" t="s">
        <v>83</v>
      </c>
      <c r="AU9">
        <v>5</v>
      </c>
      <c r="AV9">
        <v>1</v>
      </c>
      <c r="AW9" t="s">
        <v>275</v>
      </c>
      <c r="AX9" t="s">
        <v>58</v>
      </c>
      <c r="AY9" t="s">
        <v>59</v>
      </c>
      <c r="AZ9">
        <v>120.518773</v>
      </c>
      <c r="BA9" t="s">
        <v>276</v>
      </c>
    </row>
    <row r="10" spans="1:56" x14ac:dyDescent="0.2">
      <c r="B10">
        <v>8</v>
      </c>
      <c r="C10">
        <v>8</v>
      </c>
      <c r="D10">
        <v>0</v>
      </c>
      <c r="G10" t="s">
        <v>118</v>
      </c>
      <c r="H10" t="s">
        <v>119</v>
      </c>
      <c r="I10" t="s">
        <v>120</v>
      </c>
      <c r="J10" t="s">
        <v>119</v>
      </c>
      <c r="K10" t="s">
        <v>243</v>
      </c>
      <c r="L10" t="s">
        <v>132</v>
      </c>
      <c r="M10" t="s">
        <v>80</v>
      </c>
      <c r="N10" t="s">
        <v>81</v>
      </c>
      <c r="O10" t="s">
        <v>81</v>
      </c>
      <c r="P10" t="s">
        <v>291</v>
      </c>
      <c r="Q10" t="s">
        <v>83</v>
      </c>
      <c r="U10">
        <v>0</v>
      </c>
      <c r="V10">
        <v>8</v>
      </c>
      <c r="W10">
        <v>8</v>
      </c>
      <c r="X10">
        <v>16</v>
      </c>
      <c r="Y10">
        <v>60.119835600000002</v>
      </c>
      <c r="AG10">
        <v>60.110853599999999</v>
      </c>
      <c r="AH10">
        <v>60.119835600000002</v>
      </c>
      <c r="AI10">
        <v>60.119835600000002</v>
      </c>
      <c r="AJ10">
        <v>60.119835600000002</v>
      </c>
      <c r="AK10">
        <v>2.5255E-3</v>
      </c>
      <c r="AL10">
        <v>66.324815599999994</v>
      </c>
      <c r="AM10" t="s">
        <v>119</v>
      </c>
      <c r="AN10" t="s">
        <v>243</v>
      </c>
      <c r="AO10" t="s">
        <v>132</v>
      </c>
      <c r="AP10" t="s">
        <v>80</v>
      </c>
      <c r="AQ10" t="s">
        <v>81</v>
      </c>
      <c r="AR10" t="s">
        <v>81</v>
      </c>
      <c r="AS10" t="s">
        <v>291</v>
      </c>
      <c r="AT10" t="s">
        <v>83</v>
      </c>
      <c r="AU10">
        <v>5</v>
      </c>
      <c r="AV10">
        <v>1</v>
      </c>
      <c r="AW10" t="s">
        <v>275</v>
      </c>
      <c r="AX10" t="s">
        <v>58</v>
      </c>
      <c r="AY10" t="s">
        <v>59</v>
      </c>
      <c r="AZ10">
        <v>120.518773</v>
      </c>
      <c r="BA10" t="s">
        <v>276</v>
      </c>
    </row>
    <row r="11" spans="1:56" x14ac:dyDescent="0.2">
      <c r="B11">
        <v>9</v>
      </c>
      <c r="C11">
        <v>9</v>
      </c>
      <c r="D11">
        <v>0</v>
      </c>
      <c r="G11" t="s">
        <v>94</v>
      </c>
      <c r="H11" t="s">
        <v>62</v>
      </c>
      <c r="I11" t="s">
        <v>77</v>
      </c>
      <c r="J11" t="s">
        <v>62</v>
      </c>
      <c r="K11" t="s">
        <v>207</v>
      </c>
      <c r="L11" t="s">
        <v>185</v>
      </c>
      <c r="M11" t="s">
        <v>80</v>
      </c>
      <c r="N11" t="s">
        <v>81</v>
      </c>
      <c r="O11" t="s">
        <v>81</v>
      </c>
      <c r="P11" t="s">
        <v>292</v>
      </c>
      <c r="Q11" t="s">
        <v>83</v>
      </c>
      <c r="U11">
        <v>0</v>
      </c>
      <c r="V11">
        <v>9</v>
      </c>
      <c r="W11">
        <v>9</v>
      </c>
      <c r="X11">
        <v>8</v>
      </c>
      <c r="Y11">
        <v>66.335190900000001</v>
      </c>
      <c r="AG11">
        <v>66.326595800000007</v>
      </c>
      <c r="AH11">
        <v>66.335190900000001</v>
      </c>
      <c r="AI11">
        <v>66.335190900000001</v>
      </c>
      <c r="AJ11">
        <v>66.335190900000001</v>
      </c>
      <c r="AK11">
        <v>1.6749200000000001E-3</v>
      </c>
      <c r="AL11">
        <v>70.574945499999998</v>
      </c>
      <c r="AM11" t="s">
        <v>62</v>
      </c>
      <c r="AN11" t="s">
        <v>207</v>
      </c>
      <c r="AO11" t="s">
        <v>185</v>
      </c>
      <c r="AP11" t="s">
        <v>80</v>
      </c>
      <c r="AQ11" t="s">
        <v>81</v>
      </c>
      <c r="AR11" t="s">
        <v>81</v>
      </c>
      <c r="AS11" t="s">
        <v>292</v>
      </c>
      <c r="AT11" t="s">
        <v>83</v>
      </c>
      <c r="AU11">
        <v>5</v>
      </c>
      <c r="AV11">
        <v>1</v>
      </c>
      <c r="AW11" t="s">
        <v>275</v>
      </c>
      <c r="AX11" t="s">
        <v>58</v>
      </c>
      <c r="AY11" t="s">
        <v>59</v>
      </c>
      <c r="AZ11">
        <v>120.518773</v>
      </c>
      <c r="BA11" t="s">
        <v>276</v>
      </c>
    </row>
    <row r="12" spans="1:56" x14ac:dyDescent="0.2">
      <c r="B12">
        <v>10</v>
      </c>
      <c r="C12">
        <v>10</v>
      </c>
      <c r="D12">
        <v>0</v>
      </c>
      <c r="G12" t="s">
        <v>142</v>
      </c>
      <c r="H12" t="s">
        <v>143</v>
      </c>
      <c r="I12" t="s">
        <v>120</v>
      </c>
      <c r="K12" t="s">
        <v>293</v>
      </c>
      <c r="L12" t="s">
        <v>157</v>
      </c>
      <c r="M12" t="s">
        <v>80</v>
      </c>
      <c r="N12" t="s">
        <v>81</v>
      </c>
      <c r="O12" t="s">
        <v>81</v>
      </c>
      <c r="P12" t="s">
        <v>294</v>
      </c>
      <c r="Q12" t="s">
        <v>83</v>
      </c>
      <c r="U12">
        <v>0</v>
      </c>
      <c r="V12">
        <v>10</v>
      </c>
      <c r="W12">
        <v>10</v>
      </c>
      <c r="X12">
        <v>15</v>
      </c>
      <c r="Y12">
        <v>70.585909000000001</v>
      </c>
      <c r="AG12">
        <v>70.577001899999999</v>
      </c>
      <c r="AH12">
        <v>70.585909000000001</v>
      </c>
      <c r="AI12">
        <v>70.585909000000001</v>
      </c>
      <c r="AJ12">
        <v>70.585909000000001</v>
      </c>
      <c r="AK12">
        <v>1.94663E-3</v>
      </c>
      <c r="AL12">
        <v>73.908026000000007</v>
      </c>
      <c r="AN12" t="s">
        <v>293</v>
      </c>
      <c r="AO12" t="s">
        <v>157</v>
      </c>
      <c r="AP12" t="s">
        <v>80</v>
      </c>
      <c r="AQ12" t="s">
        <v>81</v>
      </c>
      <c r="AR12" t="s">
        <v>81</v>
      </c>
      <c r="AS12" t="s">
        <v>294</v>
      </c>
      <c r="AT12" t="s">
        <v>83</v>
      </c>
      <c r="AU12">
        <v>5</v>
      </c>
      <c r="AV12">
        <v>1</v>
      </c>
      <c r="AW12" t="s">
        <v>275</v>
      </c>
      <c r="AX12" t="s">
        <v>58</v>
      </c>
      <c r="AY12" t="s">
        <v>59</v>
      </c>
      <c r="AZ12">
        <v>120.518773</v>
      </c>
      <c r="BA12" t="s">
        <v>276</v>
      </c>
    </row>
    <row r="13" spans="1:56" x14ac:dyDescent="0.2">
      <c r="B13">
        <v>11</v>
      </c>
      <c r="C13">
        <v>11</v>
      </c>
      <c r="D13">
        <v>0</v>
      </c>
      <c r="G13" t="s">
        <v>159</v>
      </c>
      <c r="H13" t="s">
        <v>73</v>
      </c>
      <c r="I13" t="s">
        <v>77</v>
      </c>
      <c r="J13" t="s">
        <v>73</v>
      </c>
      <c r="K13" t="s">
        <v>223</v>
      </c>
      <c r="L13" t="s">
        <v>86</v>
      </c>
      <c r="M13" t="s">
        <v>80</v>
      </c>
      <c r="N13" t="s">
        <v>81</v>
      </c>
      <c r="O13" t="s">
        <v>81</v>
      </c>
      <c r="P13" t="s">
        <v>295</v>
      </c>
      <c r="Q13" t="s">
        <v>83</v>
      </c>
      <c r="U13">
        <v>0</v>
      </c>
      <c r="V13">
        <v>11</v>
      </c>
      <c r="W13">
        <v>11</v>
      </c>
      <c r="X13">
        <v>1</v>
      </c>
      <c r="Y13">
        <v>73.917688999999996</v>
      </c>
      <c r="AG13">
        <v>73.909614399999995</v>
      </c>
      <c r="AH13">
        <v>73.917688999999996</v>
      </c>
      <c r="AI13">
        <v>73.917688999999996</v>
      </c>
      <c r="AJ13">
        <v>73.917688999999996</v>
      </c>
      <c r="AK13">
        <v>1.48533E-3</v>
      </c>
      <c r="AL13">
        <v>77.242194799999993</v>
      </c>
      <c r="AM13" t="s">
        <v>73</v>
      </c>
      <c r="AN13" t="s">
        <v>223</v>
      </c>
      <c r="AO13" t="s">
        <v>86</v>
      </c>
      <c r="AP13" t="s">
        <v>80</v>
      </c>
      <c r="AQ13" t="s">
        <v>81</v>
      </c>
      <c r="AR13" t="s">
        <v>81</v>
      </c>
      <c r="AS13" t="s">
        <v>295</v>
      </c>
      <c r="AT13" t="s">
        <v>83</v>
      </c>
      <c r="AU13">
        <v>5</v>
      </c>
      <c r="AV13">
        <v>1</v>
      </c>
      <c r="AW13" t="s">
        <v>275</v>
      </c>
      <c r="AX13" t="s">
        <v>58</v>
      </c>
      <c r="AY13" t="s">
        <v>59</v>
      </c>
      <c r="AZ13">
        <v>120.518773</v>
      </c>
      <c r="BA13" t="s">
        <v>276</v>
      </c>
    </row>
    <row r="14" spans="1:56" x14ac:dyDescent="0.2">
      <c r="B14">
        <v>12</v>
      </c>
      <c r="C14">
        <v>12</v>
      </c>
      <c r="D14">
        <v>0</v>
      </c>
      <c r="G14" t="s">
        <v>76</v>
      </c>
      <c r="H14" t="s">
        <v>65</v>
      </c>
      <c r="I14" t="s">
        <v>77</v>
      </c>
      <c r="J14" t="s">
        <v>65</v>
      </c>
      <c r="K14" t="s">
        <v>85</v>
      </c>
      <c r="L14" t="s">
        <v>179</v>
      </c>
      <c r="M14" t="s">
        <v>80</v>
      </c>
      <c r="N14" t="s">
        <v>81</v>
      </c>
      <c r="O14" t="s">
        <v>81</v>
      </c>
      <c r="P14" t="s">
        <v>296</v>
      </c>
      <c r="Q14" t="s">
        <v>83</v>
      </c>
      <c r="U14">
        <v>0</v>
      </c>
      <c r="V14">
        <v>12</v>
      </c>
      <c r="W14">
        <v>12</v>
      </c>
      <c r="X14">
        <v>3</v>
      </c>
      <c r="Y14">
        <v>77.2533411</v>
      </c>
      <c r="AG14">
        <v>77.244360499999999</v>
      </c>
      <c r="AH14">
        <v>77.2533411</v>
      </c>
      <c r="AI14">
        <v>77.2533411</v>
      </c>
      <c r="AJ14">
        <v>77.2533411</v>
      </c>
      <c r="AK14">
        <v>2.0604199999999999E-3</v>
      </c>
      <c r="AL14">
        <v>79.958308000000002</v>
      </c>
      <c r="AM14" t="s">
        <v>65</v>
      </c>
      <c r="AN14" t="s">
        <v>85</v>
      </c>
      <c r="AO14" t="s">
        <v>179</v>
      </c>
      <c r="AP14" t="s">
        <v>80</v>
      </c>
      <c r="AQ14" t="s">
        <v>81</v>
      </c>
      <c r="AR14" t="s">
        <v>81</v>
      </c>
      <c r="AS14" t="s">
        <v>296</v>
      </c>
      <c r="AT14" t="s">
        <v>83</v>
      </c>
      <c r="AU14">
        <v>5</v>
      </c>
      <c r="AV14">
        <v>1</v>
      </c>
      <c r="AW14" t="s">
        <v>275</v>
      </c>
      <c r="AX14" t="s">
        <v>58</v>
      </c>
      <c r="AY14" t="s">
        <v>59</v>
      </c>
      <c r="AZ14">
        <v>120.518773</v>
      </c>
      <c r="BA14" t="s">
        <v>276</v>
      </c>
    </row>
    <row r="15" spans="1:56" x14ac:dyDescent="0.2">
      <c r="B15">
        <v>13</v>
      </c>
      <c r="C15">
        <v>13</v>
      </c>
      <c r="D15">
        <v>0</v>
      </c>
      <c r="G15" t="s">
        <v>109</v>
      </c>
      <c r="H15" t="s">
        <v>75</v>
      </c>
      <c r="I15" t="s">
        <v>77</v>
      </c>
      <c r="J15" t="s">
        <v>75</v>
      </c>
      <c r="K15" t="s">
        <v>297</v>
      </c>
      <c r="L15" t="s">
        <v>136</v>
      </c>
      <c r="M15" t="s">
        <v>80</v>
      </c>
      <c r="N15" t="s">
        <v>81</v>
      </c>
      <c r="O15" t="s">
        <v>81</v>
      </c>
      <c r="P15" t="s">
        <v>298</v>
      </c>
      <c r="Q15" t="s">
        <v>83</v>
      </c>
      <c r="U15">
        <v>0</v>
      </c>
      <c r="V15">
        <v>13</v>
      </c>
      <c r="W15">
        <v>13</v>
      </c>
      <c r="X15">
        <v>11</v>
      </c>
      <c r="Y15">
        <v>79.969696900000002</v>
      </c>
      <c r="AG15">
        <v>79.960254800000001</v>
      </c>
      <c r="AH15">
        <v>79.969696900000002</v>
      </c>
      <c r="AI15">
        <v>79.969696900000002</v>
      </c>
      <c r="AJ15">
        <v>79.969696900000002</v>
      </c>
      <c r="AK15">
        <v>1.8482100000000001E-3</v>
      </c>
      <c r="AL15">
        <v>85.142138500000001</v>
      </c>
      <c r="AM15" t="s">
        <v>75</v>
      </c>
      <c r="AN15" t="s">
        <v>297</v>
      </c>
      <c r="AO15" t="s">
        <v>136</v>
      </c>
      <c r="AP15" t="s">
        <v>80</v>
      </c>
      <c r="AQ15" t="s">
        <v>81</v>
      </c>
      <c r="AR15" t="s">
        <v>81</v>
      </c>
      <c r="AS15" t="s">
        <v>298</v>
      </c>
      <c r="AT15" t="s">
        <v>83</v>
      </c>
      <c r="AU15">
        <v>5</v>
      </c>
      <c r="AV15">
        <v>1</v>
      </c>
      <c r="AW15" t="s">
        <v>275</v>
      </c>
      <c r="AX15" t="s">
        <v>58</v>
      </c>
      <c r="AY15" t="s">
        <v>59</v>
      </c>
      <c r="AZ15">
        <v>120.518773</v>
      </c>
      <c r="BA15" t="s">
        <v>276</v>
      </c>
    </row>
    <row r="16" spans="1:56" x14ac:dyDescent="0.2">
      <c r="B16">
        <v>14</v>
      </c>
      <c r="C16">
        <v>14</v>
      </c>
      <c r="D16">
        <v>0</v>
      </c>
      <c r="G16" t="s">
        <v>138</v>
      </c>
      <c r="H16" t="s">
        <v>72</v>
      </c>
      <c r="I16" t="s">
        <v>120</v>
      </c>
      <c r="J16" t="s">
        <v>56</v>
      </c>
      <c r="K16" t="s">
        <v>299</v>
      </c>
      <c r="L16" t="s">
        <v>171</v>
      </c>
      <c r="M16" t="s">
        <v>80</v>
      </c>
      <c r="N16" t="s">
        <v>81</v>
      </c>
      <c r="O16" t="s">
        <v>81</v>
      </c>
      <c r="P16" t="s">
        <v>300</v>
      </c>
      <c r="Q16" t="s">
        <v>83</v>
      </c>
      <c r="U16">
        <v>0</v>
      </c>
      <c r="V16">
        <v>14</v>
      </c>
      <c r="W16">
        <v>14</v>
      </c>
      <c r="X16">
        <v>19</v>
      </c>
      <c r="Y16">
        <v>85.153112199999995</v>
      </c>
      <c r="AG16">
        <v>85.144129699999993</v>
      </c>
      <c r="AH16">
        <v>85.153112199999995</v>
      </c>
      <c r="AI16">
        <v>85.153112199999995</v>
      </c>
      <c r="AJ16">
        <v>85.153112199999995</v>
      </c>
      <c r="AK16">
        <v>1.9001300000000001E-3</v>
      </c>
      <c r="AL16">
        <v>88.475207499999996</v>
      </c>
      <c r="AM16" t="s">
        <v>56</v>
      </c>
      <c r="AN16" t="s">
        <v>299</v>
      </c>
      <c r="AO16" t="s">
        <v>171</v>
      </c>
      <c r="AP16" t="s">
        <v>80</v>
      </c>
      <c r="AQ16" t="s">
        <v>81</v>
      </c>
      <c r="AR16" t="s">
        <v>81</v>
      </c>
      <c r="AS16" t="s">
        <v>300</v>
      </c>
      <c r="AT16" t="s">
        <v>83</v>
      </c>
      <c r="AU16">
        <v>5</v>
      </c>
      <c r="AV16">
        <v>1</v>
      </c>
      <c r="AW16" t="s">
        <v>275</v>
      </c>
      <c r="AX16" t="s">
        <v>58</v>
      </c>
      <c r="AY16" t="s">
        <v>59</v>
      </c>
      <c r="AZ16">
        <v>120.518773</v>
      </c>
      <c r="BA16" t="s">
        <v>276</v>
      </c>
    </row>
    <row r="17" spans="1:54" x14ac:dyDescent="0.2">
      <c r="B17">
        <v>15</v>
      </c>
      <c r="C17">
        <v>15</v>
      </c>
      <c r="D17">
        <v>0</v>
      </c>
      <c r="G17" t="s">
        <v>102</v>
      </c>
      <c r="H17" t="s">
        <v>71</v>
      </c>
      <c r="I17" t="s">
        <v>77</v>
      </c>
      <c r="J17" t="s">
        <v>71</v>
      </c>
      <c r="K17" t="s">
        <v>301</v>
      </c>
      <c r="L17" t="s">
        <v>145</v>
      </c>
      <c r="M17" t="s">
        <v>80</v>
      </c>
      <c r="N17" t="s">
        <v>81</v>
      </c>
      <c r="O17" t="s">
        <v>81</v>
      </c>
      <c r="P17" t="s">
        <v>302</v>
      </c>
      <c r="Q17" t="s">
        <v>83</v>
      </c>
      <c r="U17">
        <v>0</v>
      </c>
      <c r="V17">
        <v>15</v>
      </c>
      <c r="W17">
        <v>15</v>
      </c>
      <c r="X17">
        <v>0</v>
      </c>
      <c r="Y17">
        <v>88.485404799999998</v>
      </c>
      <c r="AG17">
        <v>88.477174500000004</v>
      </c>
      <c r="AH17">
        <v>88.485404799999998</v>
      </c>
      <c r="AI17">
        <v>88.485404799999998</v>
      </c>
      <c r="AJ17">
        <v>88.485404799999998</v>
      </c>
      <c r="AK17">
        <v>1.8556200000000001E-3</v>
      </c>
      <c r="AL17">
        <v>91.775431999999995</v>
      </c>
      <c r="AM17" t="s">
        <v>71</v>
      </c>
      <c r="AN17" t="s">
        <v>301</v>
      </c>
      <c r="AO17" t="s">
        <v>145</v>
      </c>
      <c r="AP17" t="s">
        <v>80</v>
      </c>
      <c r="AQ17" t="s">
        <v>81</v>
      </c>
      <c r="AR17" t="s">
        <v>81</v>
      </c>
      <c r="AS17" t="s">
        <v>302</v>
      </c>
      <c r="AT17" t="s">
        <v>83</v>
      </c>
      <c r="AU17">
        <v>5</v>
      </c>
      <c r="AV17">
        <v>1</v>
      </c>
      <c r="AW17" t="s">
        <v>275</v>
      </c>
      <c r="AX17" t="s">
        <v>58</v>
      </c>
      <c r="AY17" t="s">
        <v>59</v>
      </c>
      <c r="AZ17">
        <v>120.518773</v>
      </c>
      <c r="BA17" t="s">
        <v>276</v>
      </c>
    </row>
    <row r="18" spans="1:54" x14ac:dyDescent="0.2">
      <c r="B18">
        <v>16</v>
      </c>
      <c r="C18">
        <v>16</v>
      </c>
      <c r="D18">
        <v>0</v>
      </c>
      <c r="G18" t="s">
        <v>134</v>
      </c>
      <c r="H18" t="s">
        <v>56</v>
      </c>
      <c r="I18" t="s">
        <v>77</v>
      </c>
      <c r="J18" t="s">
        <v>56</v>
      </c>
      <c r="K18" t="s">
        <v>175</v>
      </c>
      <c r="L18" t="s">
        <v>145</v>
      </c>
      <c r="M18" t="s">
        <v>80</v>
      </c>
      <c r="N18" t="s">
        <v>81</v>
      </c>
      <c r="O18" t="s">
        <v>81</v>
      </c>
      <c r="P18" t="s">
        <v>303</v>
      </c>
      <c r="Q18" t="s">
        <v>83</v>
      </c>
      <c r="U18">
        <v>0</v>
      </c>
      <c r="V18">
        <v>16</v>
      </c>
      <c r="W18">
        <v>16</v>
      </c>
      <c r="X18">
        <v>4</v>
      </c>
      <c r="Y18">
        <v>91.787296999999995</v>
      </c>
      <c r="AG18">
        <v>91.777895099999995</v>
      </c>
      <c r="AH18">
        <v>91.787296999999995</v>
      </c>
      <c r="AI18">
        <v>91.787296999999995</v>
      </c>
      <c r="AJ18">
        <v>91.787296999999995</v>
      </c>
      <c r="AK18">
        <v>2.3548699999999998E-3</v>
      </c>
      <c r="AL18">
        <v>96.491720900000004</v>
      </c>
      <c r="AM18" t="s">
        <v>56</v>
      </c>
      <c r="AN18" t="s">
        <v>175</v>
      </c>
      <c r="AO18" t="s">
        <v>145</v>
      </c>
      <c r="AP18" t="s">
        <v>80</v>
      </c>
      <c r="AQ18" t="s">
        <v>81</v>
      </c>
      <c r="AR18" t="s">
        <v>81</v>
      </c>
      <c r="AS18" t="s">
        <v>303</v>
      </c>
      <c r="AT18" t="s">
        <v>83</v>
      </c>
      <c r="AU18">
        <v>5</v>
      </c>
      <c r="AV18">
        <v>1</v>
      </c>
      <c r="AW18" t="s">
        <v>275</v>
      </c>
      <c r="AX18" t="s">
        <v>58</v>
      </c>
      <c r="AY18" t="s">
        <v>59</v>
      </c>
      <c r="AZ18">
        <v>120.518773</v>
      </c>
      <c r="BA18" t="s">
        <v>276</v>
      </c>
    </row>
    <row r="19" spans="1:54" x14ac:dyDescent="0.2">
      <c r="B19">
        <v>17</v>
      </c>
      <c r="C19">
        <v>17</v>
      </c>
      <c r="D19">
        <v>0</v>
      </c>
      <c r="G19" t="s">
        <v>130</v>
      </c>
      <c r="H19" t="s">
        <v>68</v>
      </c>
      <c r="I19" t="s">
        <v>77</v>
      </c>
      <c r="J19" t="s">
        <v>68</v>
      </c>
      <c r="K19" t="s">
        <v>304</v>
      </c>
      <c r="L19" t="s">
        <v>170</v>
      </c>
      <c r="M19" t="s">
        <v>80</v>
      </c>
      <c r="N19" t="s">
        <v>81</v>
      </c>
      <c r="O19" t="s">
        <v>81</v>
      </c>
      <c r="P19" t="s">
        <v>305</v>
      </c>
      <c r="Q19" t="s">
        <v>83</v>
      </c>
      <c r="U19">
        <v>0</v>
      </c>
      <c r="V19">
        <v>17</v>
      </c>
      <c r="W19">
        <v>17</v>
      </c>
      <c r="X19">
        <v>10</v>
      </c>
      <c r="Y19">
        <v>96.503069100000005</v>
      </c>
      <c r="AG19">
        <v>96.493678399999993</v>
      </c>
      <c r="AH19">
        <v>96.503069100000005</v>
      </c>
      <c r="AI19">
        <v>96.503069100000005</v>
      </c>
      <c r="AJ19">
        <v>96.503069100000005</v>
      </c>
      <c r="AK19">
        <v>1.8670399999999999E-3</v>
      </c>
      <c r="AL19">
        <v>100.926159</v>
      </c>
      <c r="AM19" t="s">
        <v>68</v>
      </c>
      <c r="AN19" t="s">
        <v>304</v>
      </c>
      <c r="AO19" t="s">
        <v>170</v>
      </c>
      <c r="AP19" t="s">
        <v>80</v>
      </c>
      <c r="AQ19" t="s">
        <v>81</v>
      </c>
      <c r="AR19" t="s">
        <v>81</v>
      </c>
      <c r="AS19" t="s">
        <v>305</v>
      </c>
      <c r="AT19" t="s">
        <v>83</v>
      </c>
      <c r="AU19">
        <v>5</v>
      </c>
      <c r="AV19">
        <v>1</v>
      </c>
      <c r="AW19" t="s">
        <v>275</v>
      </c>
      <c r="AX19" t="s">
        <v>58</v>
      </c>
      <c r="AY19" t="s">
        <v>59</v>
      </c>
      <c r="AZ19">
        <v>120.518773</v>
      </c>
      <c r="BA19" t="s">
        <v>276</v>
      </c>
    </row>
    <row r="20" spans="1:54" x14ac:dyDescent="0.2">
      <c r="B20">
        <v>18</v>
      </c>
      <c r="C20">
        <v>18</v>
      </c>
      <c r="D20">
        <v>0</v>
      </c>
      <c r="G20" t="s">
        <v>124</v>
      </c>
      <c r="H20" t="s">
        <v>125</v>
      </c>
      <c r="I20" t="s">
        <v>120</v>
      </c>
      <c r="K20" t="s">
        <v>99</v>
      </c>
      <c r="L20" t="s">
        <v>227</v>
      </c>
      <c r="M20" t="s">
        <v>80</v>
      </c>
      <c r="N20" t="s">
        <v>81</v>
      </c>
      <c r="O20" t="s">
        <v>81</v>
      </c>
      <c r="P20" t="s">
        <v>306</v>
      </c>
      <c r="Q20" t="s">
        <v>83</v>
      </c>
      <c r="U20">
        <v>0</v>
      </c>
      <c r="V20">
        <v>18</v>
      </c>
      <c r="W20">
        <v>18</v>
      </c>
      <c r="X20">
        <v>14</v>
      </c>
      <c r="Y20">
        <v>100.93762700000001</v>
      </c>
      <c r="AG20">
        <v>100.92848499999999</v>
      </c>
      <c r="AH20">
        <v>100.93762700000001</v>
      </c>
      <c r="AI20">
        <v>100.93762700000001</v>
      </c>
      <c r="AJ20">
        <v>100.93762700000001</v>
      </c>
      <c r="AK20">
        <v>2.1452899999999998E-3</v>
      </c>
      <c r="AL20">
        <v>112.97467899999999</v>
      </c>
      <c r="AN20" t="s">
        <v>99</v>
      </c>
      <c r="AO20" t="s">
        <v>227</v>
      </c>
      <c r="AP20" t="s">
        <v>80</v>
      </c>
      <c r="AQ20" t="s">
        <v>81</v>
      </c>
      <c r="AR20" t="s">
        <v>81</v>
      </c>
      <c r="AS20" t="s">
        <v>306</v>
      </c>
      <c r="AT20" t="s">
        <v>83</v>
      </c>
      <c r="AU20">
        <v>110.933401</v>
      </c>
      <c r="AV20">
        <v>5</v>
      </c>
      <c r="AW20">
        <v>1</v>
      </c>
      <c r="AX20" t="s">
        <v>275</v>
      </c>
      <c r="AY20" t="s">
        <v>58</v>
      </c>
      <c r="AZ20" t="s">
        <v>59</v>
      </c>
      <c r="BA20">
        <v>120.518773</v>
      </c>
      <c r="BB20" t="s">
        <v>276</v>
      </c>
    </row>
    <row r="21" spans="1:54" x14ac:dyDescent="0.2">
      <c r="B21">
        <v>19</v>
      </c>
      <c r="C21">
        <v>19</v>
      </c>
      <c r="D21">
        <v>0</v>
      </c>
      <c r="G21" t="s">
        <v>106</v>
      </c>
      <c r="H21" t="s">
        <v>74</v>
      </c>
      <c r="I21" t="s">
        <v>77</v>
      </c>
      <c r="J21" t="s">
        <v>74</v>
      </c>
      <c r="K21" t="s">
        <v>92</v>
      </c>
      <c r="L21" t="s">
        <v>86</v>
      </c>
      <c r="M21" t="s">
        <v>80</v>
      </c>
      <c r="N21" t="s">
        <v>81</v>
      </c>
      <c r="O21" t="s">
        <v>81</v>
      </c>
      <c r="P21" t="s">
        <v>307</v>
      </c>
      <c r="Q21" t="s">
        <v>83</v>
      </c>
      <c r="U21">
        <v>0</v>
      </c>
      <c r="V21">
        <v>19</v>
      </c>
      <c r="W21">
        <v>19</v>
      </c>
      <c r="X21">
        <v>12</v>
      </c>
      <c r="Y21">
        <v>112.983833</v>
      </c>
      <c r="AG21">
        <v>112.976167</v>
      </c>
      <c r="AH21">
        <v>112.983833</v>
      </c>
      <c r="AI21">
        <v>112.983833</v>
      </c>
      <c r="AJ21">
        <v>112.983833</v>
      </c>
      <c r="AK21">
        <v>1.40292E-3</v>
      </c>
      <c r="AL21">
        <v>115.35894999999999</v>
      </c>
      <c r="AM21" t="s">
        <v>74</v>
      </c>
      <c r="AN21" t="s">
        <v>92</v>
      </c>
      <c r="AO21" t="s">
        <v>86</v>
      </c>
      <c r="AP21" t="s">
        <v>80</v>
      </c>
      <c r="AQ21" t="s">
        <v>81</v>
      </c>
      <c r="AR21" t="s">
        <v>81</v>
      </c>
      <c r="AS21" t="s">
        <v>307</v>
      </c>
      <c r="AT21" t="s">
        <v>83</v>
      </c>
      <c r="AU21">
        <v>5</v>
      </c>
      <c r="AV21">
        <v>1</v>
      </c>
      <c r="AW21" t="s">
        <v>275</v>
      </c>
      <c r="AX21" t="s">
        <v>58</v>
      </c>
      <c r="AY21" t="s">
        <v>59</v>
      </c>
      <c r="AZ21">
        <v>120.518773</v>
      </c>
      <c r="BA21" t="s">
        <v>276</v>
      </c>
    </row>
    <row r="25" spans="1:54" ht="19" x14ac:dyDescent="0.25">
      <c r="A25" s="9" t="s">
        <v>181</v>
      </c>
      <c r="B25" s="9"/>
      <c r="C25" s="9"/>
      <c r="D25" s="9"/>
    </row>
    <row r="27" spans="1:54" x14ac:dyDescent="0.2">
      <c r="A27" t="s">
        <v>6</v>
      </c>
      <c r="B27" t="s">
        <v>7</v>
      </c>
      <c r="C27" t="s">
        <v>8</v>
      </c>
      <c r="D27" t="s">
        <v>9</v>
      </c>
      <c r="F27" s="2"/>
      <c r="G27" s="8" t="s">
        <v>163</v>
      </c>
      <c r="H27" s="8"/>
      <c r="I27" s="5"/>
    </row>
    <row r="28" spans="1:54" x14ac:dyDescent="0.2">
      <c r="A28" t="s">
        <v>113</v>
      </c>
      <c r="B28" t="s">
        <v>70</v>
      </c>
      <c r="C28" t="s">
        <v>77</v>
      </c>
      <c r="D28" t="s">
        <v>70</v>
      </c>
      <c r="F28" s="2"/>
      <c r="G28" s="8" t="s">
        <v>164</v>
      </c>
      <c r="H28" s="8"/>
      <c r="I28" s="6"/>
    </row>
    <row r="29" spans="1:54" x14ac:dyDescent="0.2">
      <c r="A29" s="4" t="s">
        <v>154</v>
      </c>
      <c r="B29" s="4" t="s">
        <v>155</v>
      </c>
      <c r="C29" s="4" t="s">
        <v>120</v>
      </c>
      <c r="D29" s="4"/>
      <c r="F29" s="2"/>
      <c r="G29" s="2"/>
      <c r="H29" s="2"/>
      <c r="I29" s="2"/>
    </row>
    <row r="30" spans="1:54" x14ac:dyDescent="0.2">
      <c r="A30" t="s">
        <v>150</v>
      </c>
      <c r="B30" t="s">
        <v>151</v>
      </c>
      <c r="C30" t="s">
        <v>120</v>
      </c>
      <c r="D30" t="s">
        <v>151</v>
      </c>
      <c r="F30" s="8" t="s">
        <v>165</v>
      </c>
      <c r="G30" s="8"/>
      <c r="H30" s="8"/>
      <c r="I30" s="2">
        <v>14</v>
      </c>
    </row>
    <row r="31" spans="1:54" x14ac:dyDescent="0.2">
      <c r="A31" t="s">
        <v>91</v>
      </c>
      <c r="B31" t="s">
        <v>64</v>
      </c>
      <c r="C31" t="s">
        <v>77</v>
      </c>
      <c r="D31" t="s">
        <v>64</v>
      </c>
      <c r="F31" s="8" t="s">
        <v>166</v>
      </c>
      <c r="G31" s="8"/>
      <c r="H31" s="8"/>
      <c r="I31" s="2">
        <v>6</v>
      </c>
    </row>
    <row r="32" spans="1:54" x14ac:dyDescent="0.2">
      <c r="A32" t="s">
        <v>88</v>
      </c>
      <c r="B32" t="s">
        <v>69</v>
      </c>
      <c r="C32" t="s">
        <v>77</v>
      </c>
      <c r="D32" t="s">
        <v>69</v>
      </c>
      <c r="F32" s="8" t="s">
        <v>167</v>
      </c>
      <c r="G32" s="8"/>
      <c r="H32" s="8"/>
      <c r="I32" s="2">
        <v>20</v>
      </c>
    </row>
    <row r="33" spans="1:9" x14ac:dyDescent="0.2">
      <c r="A33" t="s">
        <v>98</v>
      </c>
      <c r="B33" t="s">
        <v>66</v>
      </c>
      <c r="C33" t="s">
        <v>77</v>
      </c>
      <c r="D33" t="s">
        <v>66</v>
      </c>
    </row>
    <row r="34" spans="1:9" x14ac:dyDescent="0.2">
      <c r="A34" t="s">
        <v>84</v>
      </c>
      <c r="B34" t="s">
        <v>67</v>
      </c>
      <c r="C34" t="s">
        <v>77</v>
      </c>
      <c r="D34" t="s">
        <v>67</v>
      </c>
    </row>
    <row r="35" spans="1:9" x14ac:dyDescent="0.2">
      <c r="A35" s="3" t="s">
        <v>147</v>
      </c>
      <c r="B35" s="3" t="s">
        <v>63</v>
      </c>
      <c r="C35" s="3" t="s">
        <v>77</v>
      </c>
      <c r="D35" s="3" t="s">
        <v>289</v>
      </c>
    </row>
    <row r="36" spans="1:9" x14ac:dyDescent="0.2">
      <c r="A36" t="s">
        <v>118</v>
      </c>
      <c r="B36" t="s">
        <v>119</v>
      </c>
      <c r="C36" t="s">
        <v>120</v>
      </c>
      <c r="D36" t="s">
        <v>119</v>
      </c>
    </row>
    <row r="37" spans="1:9" x14ac:dyDescent="0.2">
      <c r="A37" t="s">
        <v>94</v>
      </c>
      <c r="B37" t="s">
        <v>62</v>
      </c>
      <c r="C37" t="s">
        <v>77</v>
      </c>
      <c r="D37" t="s">
        <v>62</v>
      </c>
    </row>
    <row r="38" spans="1:9" x14ac:dyDescent="0.2">
      <c r="A38" s="4" t="s">
        <v>142</v>
      </c>
      <c r="B38" s="4" t="s">
        <v>143</v>
      </c>
      <c r="C38" s="4" t="s">
        <v>120</v>
      </c>
      <c r="D38" s="4"/>
    </row>
    <row r="39" spans="1:9" x14ac:dyDescent="0.2">
      <c r="A39" t="s">
        <v>159</v>
      </c>
      <c r="B39" t="s">
        <v>73</v>
      </c>
      <c r="C39" t="s">
        <v>77</v>
      </c>
      <c r="D39" t="s">
        <v>73</v>
      </c>
    </row>
    <row r="40" spans="1:9" x14ac:dyDescent="0.2">
      <c r="A40" t="s">
        <v>76</v>
      </c>
      <c r="B40" t="s">
        <v>65</v>
      </c>
      <c r="C40" t="s">
        <v>77</v>
      </c>
      <c r="D40" t="s">
        <v>65</v>
      </c>
    </row>
    <row r="41" spans="1:9" x14ac:dyDescent="0.2">
      <c r="A41" t="s">
        <v>109</v>
      </c>
      <c r="B41" t="s">
        <v>75</v>
      </c>
      <c r="C41" t="s">
        <v>77</v>
      </c>
      <c r="D41" t="s">
        <v>75</v>
      </c>
      <c r="F41" s="8" t="s">
        <v>168</v>
      </c>
      <c r="G41" s="8"/>
      <c r="H41" s="8"/>
      <c r="I41" s="7">
        <f>13/14</f>
        <v>0.9285714285714286</v>
      </c>
    </row>
    <row r="42" spans="1:9" x14ac:dyDescent="0.2">
      <c r="A42" s="4" t="s">
        <v>138</v>
      </c>
      <c r="B42" s="4" t="s">
        <v>72</v>
      </c>
      <c r="C42" s="4" t="s">
        <v>120</v>
      </c>
      <c r="D42" s="4" t="s">
        <v>56</v>
      </c>
      <c r="F42" s="8" t="s">
        <v>161</v>
      </c>
      <c r="G42" s="8"/>
      <c r="H42" s="8"/>
      <c r="I42" s="7">
        <f>2/6</f>
        <v>0.33333333333333331</v>
      </c>
    </row>
    <row r="43" spans="1:9" x14ac:dyDescent="0.2">
      <c r="A43" t="s">
        <v>102</v>
      </c>
      <c r="B43" t="s">
        <v>71</v>
      </c>
      <c r="C43" t="s">
        <v>77</v>
      </c>
      <c r="D43" t="s">
        <v>71</v>
      </c>
      <c r="F43" s="2"/>
      <c r="G43" s="2"/>
      <c r="H43" s="2"/>
      <c r="I43" s="1"/>
    </row>
    <row r="44" spans="1:9" x14ac:dyDescent="0.2">
      <c r="A44" t="s">
        <v>134</v>
      </c>
      <c r="B44" t="s">
        <v>56</v>
      </c>
      <c r="C44" t="s">
        <v>77</v>
      </c>
      <c r="D44" t="s">
        <v>56</v>
      </c>
      <c r="F44" s="8" t="s">
        <v>162</v>
      </c>
      <c r="G44" s="8"/>
      <c r="H44" s="8"/>
      <c r="I44" s="7">
        <f>I41-I42</f>
        <v>0.59523809523809534</v>
      </c>
    </row>
    <row r="45" spans="1:9" x14ac:dyDescent="0.2">
      <c r="A45" t="s">
        <v>130</v>
      </c>
      <c r="B45" t="s">
        <v>68</v>
      </c>
      <c r="C45" t="s">
        <v>77</v>
      </c>
      <c r="D45" t="s">
        <v>68</v>
      </c>
    </row>
    <row r="46" spans="1:9" x14ac:dyDescent="0.2">
      <c r="A46" s="4" t="s">
        <v>124</v>
      </c>
      <c r="B46" s="4" t="s">
        <v>125</v>
      </c>
      <c r="C46" s="4" t="s">
        <v>120</v>
      </c>
      <c r="D46" s="4"/>
    </row>
    <row r="47" spans="1:9" x14ac:dyDescent="0.2">
      <c r="A47" t="s">
        <v>106</v>
      </c>
      <c r="B47" t="s">
        <v>74</v>
      </c>
      <c r="C47" t="s">
        <v>77</v>
      </c>
      <c r="D47" t="s">
        <v>74</v>
      </c>
    </row>
  </sheetData>
  <mergeCells count="9">
    <mergeCell ref="F41:H41"/>
    <mergeCell ref="F42:H42"/>
    <mergeCell ref="F44:H44"/>
    <mergeCell ref="A25:D25"/>
    <mergeCell ref="G27:H27"/>
    <mergeCell ref="G28:H28"/>
    <mergeCell ref="F30:H30"/>
    <mergeCell ref="F31:H31"/>
    <mergeCell ref="F32:H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4223-A258-AF45-8042-F59703B6F051}">
  <dimension ref="A1:BD47"/>
  <sheetViews>
    <sheetView topLeftCell="A13" workbookViewId="0">
      <selection activeCell="D35" sqref="D35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47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B2">
        <v>0</v>
      </c>
      <c r="C2">
        <v>0</v>
      </c>
      <c r="D2">
        <v>0</v>
      </c>
      <c r="G2" t="s">
        <v>138</v>
      </c>
      <c r="H2" t="s">
        <v>72</v>
      </c>
      <c r="I2" t="s">
        <v>120</v>
      </c>
      <c r="J2" t="s">
        <v>56</v>
      </c>
      <c r="K2" t="s">
        <v>184</v>
      </c>
      <c r="L2" t="s">
        <v>185</v>
      </c>
      <c r="M2" t="s">
        <v>80</v>
      </c>
      <c r="N2" t="s">
        <v>81</v>
      </c>
      <c r="O2" t="s">
        <v>81</v>
      </c>
      <c r="P2" t="s">
        <v>186</v>
      </c>
      <c r="Q2" t="s">
        <v>83</v>
      </c>
      <c r="U2">
        <v>0</v>
      </c>
      <c r="V2">
        <v>0</v>
      </c>
      <c r="W2">
        <v>0</v>
      </c>
      <c r="X2">
        <v>19</v>
      </c>
      <c r="Y2">
        <v>31.337716199999999</v>
      </c>
      <c r="AG2">
        <v>31.3281673</v>
      </c>
      <c r="AH2">
        <v>31.337716199999999</v>
      </c>
      <c r="AI2">
        <v>31.337716199999999</v>
      </c>
      <c r="AJ2">
        <v>31.337716199999999</v>
      </c>
      <c r="AK2">
        <v>5.5061199999999998E-3</v>
      </c>
      <c r="AL2">
        <v>41.3307979</v>
      </c>
      <c r="AM2">
        <v>42.200182499999997</v>
      </c>
      <c r="AN2" t="s">
        <v>56</v>
      </c>
      <c r="AO2" t="s">
        <v>184</v>
      </c>
      <c r="AP2" t="s">
        <v>185</v>
      </c>
      <c r="AQ2" t="s">
        <v>80</v>
      </c>
      <c r="AR2" t="s">
        <v>81</v>
      </c>
      <c r="AS2" t="s">
        <v>81</v>
      </c>
      <c r="AT2" t="s">
        <v>186</v>
      </c>
      <c r="AU2" t="s">
        <v>83</v>
      </c>
      <c r="AV2">
        <v>3</v>
      </c>
      <c r="AW2">
        <v>1</v>
      </c>
      <c r="AX2" t="s">
        <v>182</v>
      </c>
      <c r="AY2" t="s">
        <v>58</v>
      </c>
      <c r="AZ2" t="s">
        <v>59</v>
      </c>
      <c r="BA2">
        <v>121.012389</v>
      </c>
      <c r="BB2" t="s">
        <v>183</v>
      </c>
    </row>
    <row r="3" spans="1:56" x14ac:dyDescent="0.2">
      <c r="B3">
        <v>1</v>
      </c>
      <c r="C3">
        <v>1</v>
      </c>
      <c r="D3">
        <v>0</v>
      </c>
      <c r="G3" t="s">
        <v>130</v>
      </c>
      <c r="H3" t="s">
        <v>68</v>
      </c>
      <c r="I3" t="s">
        <v>77</v>
      </c>
      <c r="J3" t="s">
        <v>68</v>
      </c>
      <c r="K3" t="s">
        <v>187</v>
      </c>
      <c r="L3" t="s">
        <v>136</v>
      </c>
      <c r="M3" t="s">
        <v>80</v>
      </c>
      <c r="N3" t="s">
        <v>81</v>
      </c>
      <c r="O3" t="s">
        <v>81</v>
      </c>
      <c r="P3" t="s">
        <v>188</v>
      </c>
      <c r="Q3" t="s">
        <v>83</v>
      </c>
      <c r="U3">
        <v>0</v>
      </c>
      <c r="V3">
        <v>1</v>
      </c>
      <c r="W3">
        <v>1</v>
      </c>
      <c r="X3">
        <v>10</v>
      </c>
      <c r="Y3">
        <v>42.212427400000003</v>
      </c>
      <c r="AG3">
        <v>42.202541500000002</v>
      </c>
      <c r="AH3">
        <v>42.212427400000003</v>
      </c>
      <c r="AI3">
        <v>42.212427400000003</v>
      </c>
      <c r="AJ3">
        <v>42.212427400000003</v>
      </c>
      <c r="AK3">
        <v>2.1885799999999999E-3</v>
      </c>
      <c r="AM3">
        <v>48.049532200000002</v>
      </c>
      <c r="AN3" t="s">
        <v>68</v>
      </c>
      <c r="AO3" t="s">
        <v>187</v>
      </c>
      <c r="AP3" t="s">
        <v>136</v>
      </c>
      <c r="AQ3" t="s">
        <v>80</v>
      </c>
      <c r="AR3" t="s">
        <v>81</v>
      </c>
      <c r="AS3" t="s">
        <v>81</v>
      </c>
      <c r="AT3" t="s">
        <v>188</v>
      </c>
      <c r="AU3" t="s">
        <v>83</v>
      </c>
      <c r="AV3">
        <v>3</v>
      </c>
      <c r="AW3">
        <v>1</v>
      </c>
      <c r="AX3" t="s">
        <v>182</v>
      </c>
      <c r="AY3" t="s">
        <v>58</v>
      </c>
      <c r="AZ3" t="s">
        <v>59</v>
      </c>
      <c r="BA3">
        <v>121.012389</v>
      </c>
      <c r="BB3" t="s">
        <v>183</v>
      </c>
    </row>
    <row r="4" spans="1:56" x14ac:dyDescent="0.2">
      <c r="B4">
        <v>2</v>
      </c>
      <c r="C4">
        <v>2</v>
      </c>
      <c r="D4">
        <v>0</v>
      </c>
      <c r="G4" t="s">
        <v>102</v>
      </c>
      <c r="H4" t="s">
        <v>71</v>
      </c>
      <c r="I4" t="s">
        <v>77</v>
      </c>
      <c r="J4" t="s">
        <v>71</v>
      </c>
      <c r="K4" t="s">
        <v>189</v>
      </c>
      <c r="L4" t="s">
        <v>140</v>
      </c>
      <c r="M4" t="s">
        <v>80</v>
      </c>
      <c r="N4" t="s">
        <v>81</v>
      </c>
      <c r="O4" t="s">
        <v>81</v>
      </c>
      <c r="P4" t="s">
        <v>190</v>
      </c>
      <c r="Q4" t="s">
        <v>83</v>
      </c>
      <c r="U4">
        <v>0</v>
      </c>
      <c r="V4">
        <v>2</v>
      </c>
      <c r="W4">
        <v>2</v>
      </c>
      <c r="X4">
        <v>0</v>
      </c>
      <c r="Y4">
        <v>48.061532999999997</v>
      </c>
      <c r="AG4">
        <v>48.051841799999998</v>
      </c>
      <c r="AH4">
        <v>48.061532999999997</v>
      </c>
      <c r="AI4">
        <v>48.061532999999997</v>
      </c>
      <c r="AJ4">
        <v>48.061532999999997</v>
      </c>
      <c r="AK4">
        <v>2.2026300000000001E-3</v>
      </c>
      <c r="AM4">
        <v>51.431995000000001</v>
      </c>
      <c r="AN4" t="s">
        <v>71</v>
      </c>
      <c r="AO4" t="s">
        <v>189</v>
      </c>
      <c r="AP4" t="s">
        <v>140</v>
      </c>
      <c r="AQ4" t="s">
        <v>80</v>
      </c>
      <c r="AR4" t="s">
        <v>81</v>
      </c>
      <c r="AS4" t="s">
        <v>81</v>
      </c>
      <c r="AT4" t="s">
        <v>190</v>
      </c>
      <c r="AU4" t="s">
        <v>83</v>
      </c>
      <c r="AV4">
        <v>3</v>
      </c>
      <c r="AW4">
        <v>1</v>
      </c>
      <c r="AX4" t="s">
        <v>182</v>
      </c>
      <c r="AY4" t="s">
        <v>58</v>
      </c>
      <c r="AZ4" t="s">
        <v>59</v>
      </c>
      <c r="BA4">
        <v>121.012389</v>
      </c>
      <c r="BB4" t="s">
        <v>183</v>
      </c>
    </row>
    <row r="5" spans="1:56" x14ac:dyDescent="0.2">
      <c r="B5">
        <v>3</v>
      </c>
      <c r="C5">
        <v>3</v>
      </c>
      <c r="D5">
        <v>0</v>
      </c>
      <c r="G5" t="s">
        <v>84</v>
      </c>
      <c r="H5" t="s">
        <v>67</v>
      </c>
      <c r="I5" t="s">
        <v>77</v>
      </c>
      <c r="J5" t="s">
        <v>67</v>
      </c>
      <c r="K5" t="s">
        <v>191</v>
      </c>
      <c r="L5" t="s">
        <v>171</v>
      </c>
      <c r="M5" t="s">
        <v>80</v>
      </c>
      <c r="N5" t="s">
        <v>81</v>
      </c>
      <c r="O5" t="s">
        <v>81</v>
      </c>
      <c r="P5" t="s">
        <v>192</v>
      </c>
      <c r="Q5" t="s">
        <v>83</v>
      </c>
      <c r="U5">
        <v>0</v>
      </c>
      <c r="V5">
        <v>3</v>
      </c>
      <c r="W5">
        <v>3</v>
      </c>
      <c r="X5">
        <v>2</v>
      </c>
      <c r="Y5">
        <v>51.442752800000001</v>
      </c>
      <c r="AG5">
        <v>51.433972699999998</v>
      </c>
      <c r="AH5">
        <v>51.442752800000001</v>
      </c>
      <c r="AI5">
        <v>51.442752800000001</v>
      </c>
      <c r="AJ5">
        <v>51.442752800000001</v>
      </c>
      <c r="AK5">
        <v>1.8801200000000001E-3</v>
      </c>
      <c r="AM5">
        <v>55.015475100000003</v>
      </c>
      <c r="AN5" t="s">
        <v>67</v>
      </c>
      <c r="AO5" t="s">
        <v>191</v>
      </c>
      <c r="AP5" t="s">
        <v>171</v>
      </c>
      <c r="AQ5" t="s">
        <v>80</v>
      </c>
      <c r="AR5" t="s">
        <v>81</v>
      </c>
      <c r="AS5" t="s">
        <v>81</v>
      </c>
      <c r="AT5" t="s">
        <v>192</v>
      </c>
      <c r="AU5" t="s">
        <v>83</v>
      </c>
      <c r="AV5">
        <v>3</v>
      </c>
      <c r="AW5">
        <v>1</v>
      </c>
      <c r="AX5" t="s">
        <v>182</v>
      </c>
      <c r="AY5" t="s">
        <v>58</v>
      </c>
      <c r="AZ5" t="s">
        <v>59</v>
      </c>
      <c r="BA5">
        <v>121.012389</v>
      </c>
      <c r="BB5" t="s">
        <v>183</v>
      </c>
    </row>
    <row r="6" spans="1:56" x14ac:dyDescent="0.2">
      <c r="B6">
        <v>4</v>
      </c>
      <c r="C6">
        <v>4</v>
      </c>
      <c r="D6">
        <v>0</v>
      </c>
      <c r="G6" t="s">
        <v>113</v>
      </c>
      <c r="H6" t="s">
        <v>70</v>
      </c>
      <c r="I6" t="s">
        <v>77</v>
      </c>
      <c r="J6" t="s">
        <v>70</v>
      </c>
      <c r="K6" t="s">
        <v>180</v>
      </c>
      <c r="L6" t="s">
        <v>86</v>
      </c>
      <c r="M6" t="s">
        <v>80</v>
      </c>
      <c r="N6" t="s">
        <v>81</v>
      </c>
      <c r="O6" t="s">
        <v>81</v>
      </c>
      <c r="P6" t="s">
        <v>193</v>
      </c>
      <c r="Q6" t="s">
        <v>83</v>
      </c>
      <c r="U6">
        <v>0</v>
      </c>
      <c r="V6">
        <v>4</v>
      </c>
      <c r="W6">
        <v>4</v>
      </c>
      <c r="X6">
        <v>9</v>
      </c>
      <c r="Y6">
        <v>55.027171699999997</v>
      </c>
      <c r="AG6">
        <v>55.018055099999998</v>
      </c>
      <c r="AH6">
        <v>55.027171699999997</v>
      </c>
      <c r="AI6">
        <v>55.027171699999997</v>
      </c>
      <c r="AJ6">
        <v>55.027171699999997</v>
      </c>
      <c r="AK6">
        <v>2.4750000000000002E-3</v>
      </c>
      <c r="AM6">
        <v>60.349817700000003</v>
      </c>
      <c r="AN6" t="s">
        <v>70</v>
      </c>
      <c r="AO6" t="s">
        <v>180</v>
      </c>
      <c r="AP6" t="s">
        <v>86</v>
      </c>
      <c r="AQ6" t="s">
        <v>80</v>
      </c>
      <c r="AR6" t="s">
        <v>81</v>
      </c>
      <c r="AS6" t="s">
        <v>81</v>
      </c>
      <c r="AT6" t="s">
        <v>193</v>
      </c>
      <c r="AU6" t="s">
        <v>83</v>
      </c>
      <c r="AV6">
        <v>3</v>
      </c>
      <c r="AW6">
        <v>1</v>
      </c>
      <c r="AX6" t="s">
        <v>182</v>
      </c>
      <c r="AY6" t="s">
        <v>58</v>
      </c>
      <c r="AZ6" t="s">
        <v>59</v>
      </c>
      <c r="BA6">
        <v>121.012389</v>
      </c>
      <c r="BB6" t="s">
        <v>183</v>
      </c>
    </row>
    <row r="7" spans="1:56" x14ac:dyDescent="0.2">
      <c r="B7">
        <v>5</v>
      </c>
      <c r="C7">
        <v>5</v>
      </c>
      <c r="D7">
        <v>0</v>
      </c>
      <c r="G7" t="s">
        <v>124</v>
      </c>
      <c r="H7" t="s">
        <v>125</v>
      </c>
      <c r="I7" t="s">
        <v>120</v>
      </c>
      <c r="J7" t="s">
        <v>194</v>
      </c>
      <c r="K7" t="s">
        <v>195</v>
      </c>
      <c r="L7" t="s">
        <v>172</v>
      </c>
      <c r="M7" t="s">
        <v>80</v>
      </c>
      <c r="N7" t="s">
        <v>81</v>
      </c>
      <c r="O7" t="s">
        <v>81</v>
      </c>
      <c r="P7" t="s">
        <v>196</v>
      </c>
      <c r="Q7" t="s">
        <v>83</v>
      </c>
      <c r="U7">
        <v>0</v>
      </c>
      <c r="V7">
        <v>5</v>
      </c>
      <c r="W7">
        <v>5</v>
      </c>
      <c r="X7">
        <v>14</v>
      </c>
      <c r="Y7">
        <v>60.360690599999998</v>
      </c>
      <c r="AG7">
        <v>60.351765999999998</v>
      </c>
      <c r="AH7">
        <v>60.360690599999998</v>
      </c>
      <c r="AI7">
        <v>60.360690599999998</v>
      </c>
      <c r="AJ7">
        <v>60.360690599999998</v>
      </c>
      <c r="AK7">
        <v>1.8496700000000001E-3</v>
      </c>
      <c r="AM7">
        <v>67.065893599999995</v>
      </c>
      <c r="AN7" t="s">
        <v>194</v>
      </c>
      <c r="AO7" t="s">
        <v>195</v>
      </c>
      <c r="AP7" t="s">
        <v>172</v>
      </c>
      <c r="AQ7" t="s">
        <v>80</v>
      </c>
      <c r="AR7" t="s">
        <v>81</v>
      </c>
      <c r="AS7" t="s">
        <v>81</v>
      </c>
      <c r="AT7" t="s">
        <v>196</v>
      </c>
      <c r="AU7" t="s">
        <v>83</v>
      </c>
      <c r="AV7">
        <v>3</v>
      </c>
      <c r="AW7">
        <v>1</v>
      </c>
      <c r="AX7" t="s">
        <v>182</v>
      </c>
      <c r="AY7" t="s">
        <v>58</v>
      </c>
      <c r="AZ7" t="s">
        <v>59</v>
      </c>
      <c r="BA7">
        <v>121.012389</v>
      </c>
      <c r="BB7" t="s">
        <v>183</v>
      </c>
    </row>
    <row r="8" spans="1:56" x14ac:dyDescent="0.2">
      <c r="B8">
        <v>6</v>
      </c>
      <c r="C8">
        <v>6</v>
      </c>
      <c r="D8">
        <v>0</v>
      </c>
      <c r="G8" t="s">
        <v>150</v>
      </c>
      <c r="H8" t="s">
        <v>151</v>
      </c>
      <c r="I8" t="s">
        <v>120</v>
      </c>
      <c r="K8" t="s">
        <v>121</v>
      </c>
      <c r="L8" t="s">
        <v>79</v>
      </c>
      <c r="M8" t="s">
        <v>80</v>
      </c>
      <c r="N8" t="s">
        <v>81</v>
      </c>
      <c r="O8" t="s">
        <v>81</v>
      </c>
      <c r="P8" t="s">
        <v>197</v>
      </c>
      <c r="Q8" t="s">
        <v>83</v>
      </c>
      <c r="U8">
        <v>0</v>
      </c>
      <c r="V8">
        <v>6</v>
      </c>
      <c r="W8">
        <v>6</v>
      </c>
      <c r="X8">
        <v>17</v>
      </c>
      <c r="Y8">
        <v>67.077849400000005</v>
      </c>
      <c r="AG8">
        <v>67.068085999999994</v>
      </c>
      <c r="AH8">
        <v>67.077849400000005</v>
      </c>
      <c r="AI8">
        <v>67.077849400000005</v>
      </c>
      <c r="AJ8">
        <v>67.077849400000005</v>
      </c>
      <c r="AK8">
        <v>2.0714599999999998E-3</v>
      </c>
      <c r="AL8">
        <v>77.074213200000003</v>
      </c>
      <c r="AM8">
        <v>77.599192099999996</v>
      </c>
      <c r="AO8" t="s">
        <v>121</v>
      </c>
      <c r="AP8" t="s">
        <v>79</v>
      </c>
      <c r="AQ8" t="s">
        <v>80</v>
      </c>
      <c r="AR8" t="s">
        <v>81</v>
      </c>
      <c r="AS8" t="s">
        <v>81</v>
      </c>
      <c r="AT8" t="s">
        <v>197</v>
      </c>
      <c r="AU8" t="s">
        <v>83</v>
      </c>
      <c r="AV8">
        <v>3</v>
      </c>
      <c r="AW8">
        <v>1</v>
      </c>
      <c r="AX8" t="s">
        <v>182</v>
      </c>
      <c r="AY8" t="s">
        <v>58</v>
      </c>
      <c r="AZ8" t="s">
        <v>59</v>
      </c>
      <c r="BA8">
        <v>121.012389</v>
      </c>
      <c r="BB8" t="s">
        <v>183</v>
      </c>
    </row>
    <row r="9" spans="1:56" x14ac:dyDescent="0.2">
      <c r="B9">
        <v>7</v>
      </c>
      <c r="C9">
        <v>7</v>
      </c>
      <c r="D9">
        <v>0</v>
      </c>
      <c r="G9" t="s">
        <v>88</v>
      </c>
      <c r="H9" t="s">
        <v>69</v>
      </c>
      <c r="I9" t="s">
        <v>77</v>
      </c>
      <c r="J9" t="s">
        <v>69</v>
      </c>
      <c r="K9" t="s">
        <v>198</v>
      </c>
      <c r="L9" t="s">
        <v>157</v>
      </c>
      <c r="M9" t="s">
        <v>80</v>
      </c>
      <c r="N9" t="s">
        <v>81</v>
      </c>
      <c r="O9" t="s">
        <v>81</v>
      </c>
      <c r="P9" t="s">
        <v>199</v>
      </c>
      <c r="Q9" t="s">
        <v>83</v>
      </c>
      <c r="U9">
        <v>0</v>
      </c>
      <c r="V9">
        <v>7</v>
      </c>
      <c r="W9">
        <v>7</v>
      </c>
      <c r="X9">
        <v>13</v>
      </c>
      <c r="Y9">
        <v>77.609377100000003</v>
      </c>
      <c r="AG9">
        <v>77.601012499999996</v>
      </c>
      <c r="AH9">
        <v>77.609377100000003</v>
      </c>
      <c r="AI9">
        <v>77.609377100000003</v>
      </c>
      <c r="AJ9">
        <v>77.609377100000003</v>
      </c>
      <c r="AK9">
        <v>1.70433E-3</v>
      </c>
      <c r="AM9">
        <v>83.867002999999997</v>
      </c>
      <c r="AN9" t="s">
        <v>69</v>
      </c>
      <c r="AO9" t="s">
        <v>198</v>
      </c>
      <c r="AP9" t="s">
        <v>157</v>
      </c>
      <c r="AQ9" t="s">
        <v>80</v>
      </c>
      <c r="AR9" t="s">
        <v>81</v>
      </c>
      <c r="AS9" t="s">
        <v>81</v>
      </c>
      <c r="AT9" t="s">
        <v>199</v>
      </c>
      <c r="AU9" t="s">
        <v>83</v>
      </c>
      <c r="AV9">
        <v>3</v>
      </c>
      <c r="AW9">
        <v>1</v>
      </c>
      <c r="AX9" t="s">
        <v>182</v>
      </c>
      <c r="AY9" t="s">
        <v>58</v>
      </c>
      <c r="AZ9" t="s">
        <v>59</v>
      </c>
      <c r="BA9">
        <v>121.012389</v>
      </c>
      <c r="BB9" t="s">
        <v>183</v>
      </c>
    </row>
    <row r="10" spans="1:56" x14ac:dyDescent="0.2">
      <c r="B10">
        <v>8</v>
      </c>
      <c r="C10">
        <v>8</v>
      </c>
      <c r="D10">
        <v>0</v>
      </c>
      <c r="G10" t="s">
        <v>159</v>
      </c>
      <c r="H10" t="s">
        <v>73</v>
      </c>
      <c r="I10" t="s">
        <v>77</v>
      </c>
      <c r="J10" t="s">
        <v>73</v>
      </c>
      <c r="K10" t="s">
        <v>198</v>
      </c>
      <c r="L10" t="s">
        <v>136</v>
      </c>
      <c r="M10" t="s">
        <v>80</v>
      </c>
      <c r="N10" t="s">
        <v>81</v>
      </c>
      <c r="O10" t="s">
        <v>81</v>
      </c>
      <c r="P10" t="s">
        <v>200</v>
      </c>
      <c r="Q10" t="s">
        <v>83</v>
      </c>
      <c r="U10">
        <v>0</v>
      </c>
      <c r="V10">
        <v>8</v>
      </c>
      <c r="W10">
        <v>8</v>
      </c>
      <c r="X10">
        <v>1</v>
      </c>
      <c r="Y10">
        <v>83.878469999999993</v>
      </c>
      <c r="AG10">
        <v>83.869415500000002</v>
      </c>
      <c r="AH10">
        <v>83.878469999999993</v>
      </c>
      <c r="AI10">
        <v>83.878469999999993</v>
      </c>
      <c r="AJ10">
        <v>83.878469999999993</v>
      </c>
      <c r="AK10">
        <v>2.3063799999999998E-3</v>
      </c>
      <c r="AM10">
        <v>87.833224700000002</v>
      </c>
      <c r="AN10" t="s">
        <v>73</v>
      </c>
      <c r="AO10" t="s">
        <v>198</v>
      </c>
      <c r="AP10" t="s">
        <v>136</v>
      </c>
      <c r="AQ10" t="s">
        <v>80</v>
      </c>
      <c r="AR10" t="s">
        <v>81</v>
      </c>
      <c r="AS10" t="s">
        <v>81</v>
      </c>
      <c r="AT10" t="s">
        <v>200</v>
      </c>
      <c r="AU10" t="s">
        <v>83</v>
      </c>
      <c r="AV10">
        <v>3</v>
      </c>
      <c r="AW10">
        <v>1</v>
      </c>
      <c r="AX10" t="s">
        <v>182</v>
      </c>
      <c r="AY10" t="s">
        <v>58</v>
      </c>
      <c r="AZ10" t="s">
        <v>59</v>
      </c>
      <c r="BA10">
        <v>121.012389</v>
      </c>
      <c r="BB10" t="s">
        <v>183</v>
      </c>
    </row>
    <row r="11" spans="1:56" x14ac:dyDescent="0.2">
      <c r="B11">
        <v>9</v>
      </c>
      <c r="C11">
        <v>9</v>
      </c>
      <c r="D11">
        <v>0</v>
      </c>
      <c r="G11" t="s">
        <v>154</v>
      </c>
      <c r="H11" t="s">
        <v>155</v>
      </c>
      <c r="I11" t="s">
        <v>120</v>
      </c>
      <c r="J11" t="s">
        <v>155</v>
      </c>
      <c r="K11" t="s">
        <v>201</v>
      </c>
      <c r="L11" t="s">
        <v>173</v>
      </c>
      <c r="M11" t="s">
        <v>80</v>
      </c>
      <c r="N11" t="s">
        <v>81</v>
      </c>
      <c r="O11" t="s">
        <v>81</v>
      </c>
      <c r="P11" t="s">
        <v>202</v>
      </c>
      <c r="Q11" t="s">
        <v>83</v>
      </c>
      <c r="U11">
        <v>0</v>
      </c>
      <c r="V11">
        <v>9</v>
      </c>
      <c r="W11">
        <v>9</v>
      </c>
      <c r="X11">
        <v>18</v>
      </c>
      <c r="Y11">
        <v>87.843921399999999</v>
      </c>
      <c r="AG11">
        <v>87.835213499999995</v>
      </c>
      <c r="AH11">
        <v>87.843921399999999</v>
      </c>
      <c r="AI11">
        <v>87.843921399999999</v>
      </c>
      <c r="AJ11">
        <v>87.843921399999999</v>
      </c>
      <c r="AK11">
        <v>1.88579E-3</v>
      </c>
      <c r="AM11">
        <v>92.433406099999999</v>
      </c>
      <c r="AN11" t="s">
        <v>155</v>
      </c>
      <c r="AO11" t="s">
        <v>201</v>
      </c>
      <c r="AP11" t="s">
        <v>173</v>
      </c>
      <c r="AQ11" t="s">
        <v>80</v>
      </c>
      <c r="AR11" t="s">
        <v>81</v>
      </c>
      <c r="AS11" t="s">
        <v>81</v>
      </c>
      <c r="AT11" t="s">
        <v>202</v>
      </c>
      <c r="AU11" t="s">
        <v>83</v>
      </c>
      <c r="AV11">
        <v>3</v>
      </c>
      <c r="AW11">
        <v>1</v>
      </c>
      <c r="AX11" t="s">
        <v>182</v>
      </c>
      <c r="AY11" t="s">
        <v>58</v>
      </c>
      <c r="AZ11" t="s">
        <v>59</v>
      </c>
      <c r="BA11">
        <v>121.012389</v>
      </c>
      <c r="BB11" t="s">
        <v>183</v>
      </c>
    </row>
    <row r="12" spans="1:56" x14ac:dyDescent="0.2">
      <c r="B12">
        <v>10</v>
      </c>
      <c r="C12">
        <v>10</v>
      </c>
      <c r="D12">
        <v>0</v>
      </c>
      <c r="G12" t="s">
        <v>94</v>
      </c>
      <c r="H12" t="s">
        <v>62</v>
      </c>
      <c r="I12" t="s">
        <v>77</v>
      </c>
      <c r="J12" t="s">
        <v>62</v>
      </c>
      <c r="K12" t="s">
        <v>203</v>
      </c>
      <c r="L12" t="s">
        <v>204</v>
      </c>
      <c r="M12" t="s">
        <v>80</v>
      </c>
      <c r="N12" t="s">
        <v>81</v>
      </c>
      <c r="O12" t="s">
        <v>81</v>
      </c>
      <c r="P12" t="s">
        <v>205</v>
      </c>
      <c r="Q12" t="s">
        <v>83</v>
      </c>
      <c r="U12">
        <v>0</v>
      </c>
      <c r="V12">
        <v>10</v>
      </c>
      <c r="W12">
        <v>10</v>
      </c>
      <c r="X12">
        <v>8</v>
      </c>
      <c r="Y12">
        <v>92.443640500000001</v>
      </c>
      <c r="AG12">
        <v>92.435162899999995</v>
      </c>
      <c r="AH12">
        <v>92.443640500000001</v>
      </c>
      <c r="AI12">
        <v>92.443640500000001</v>
      </c>
      <c r="AJ12">
        <v>92.443640500000001</v>
      </c>
      <c r="AK12">
        <v>1.6586699999999999E-3</v>
      </c>
      <c r="AM12">
        <v>96.167450500000001</v>
      </c>
      <c r="AN12" t="s">
        <v>62</v>
      </c>
      <c r="AO12" t="s">
        <v>203</v>
      </c>
      <c r="AP12" t="s">
        <v>204</v>
      </c>
      <c r="AQ12" t="s">
        <v>80</v>
      </c>
      <c r="AR12" t="s">
        <v>81</v>
      </c>
      <c r="AS12" t="s">
        <v>81</v>
      </c>
      <c r="AT12" t="s">
        <v>205</v>
      </c>
      <c r="AU12" t="s">
        <v>83</v>
      </c>
      <c r="AV12">
        <v>3</v>
      </c>
      <c r="AW12">
        <v>1</v>
      </c>
      <c r="AX12" t="s">
        <v>182</v>
      </c>
      <c r="AY12" t="s">
        <v>58</v>
      </c>
      <c r="AZ12" t="s">
        <v>59</v>
      </c>
      <c r="BA12">
        <v>121.012389</v>
      </c>
      <c r="BB12" t="s">
        <v>183</v>
      </c>
    </row>
    <row r="13" spans="1:56" x14ac:dyDescent="0.2">
      <c r="B13">
        <v>11</v>
      </c>
      <c r="C13">
        <v>11</v>
      </c>
      <c r="D13">
        <v>0</v>
      </c>
      <c r="G13" t="s">
        <v>118</v>
      </c>
      <c r="H13" t="s">
        <v>119</v>
      </c>
      <c r="I13" t="s">
        <v>120</v>
      </c>
      <c r="K13" t="s">
        <v>115</v>
      </c>
      <c r="L13" t="s">
        <v>204</v>
      </c>
      <c r="M13" t="s">
        <v>80</v>
      </c>
      <c r="N13" t="s">
        <v>81</v>
      </c>
      <c r="O13" t="s">
        <v>81</v>
      </c>
      <c r="P13" t="s">
        <v>206</v>
      </c>
      <c r="Q13" t="s">
        <v>83</v>
      </c>
      <c r="U13">
        <v>0</v>
      </c>
      <c r="V13">
        <v>11</v>
      </c>
      <c r="W13">
        <v>11</v>
      </c>
      <c r="X13">
        <v>16</v>
      </c>
      <c r="Y13">
        <v>96.180180300000004</v>
      </c>
      <c r="AG13">
        <v>96.170589199999995</v>
      </c>
      <c r="AH13">
        <v>96.180180300000004</v>
      </c>
      <c r="AI13">
        <v>96.180180300000004</v>
      </c>
      <c r="AJ13">
        <v>96.180180300000004</v>
      </c>
      <c r="AK13">
        <v>3.0150400000000001E-3</v>
      </c>
      <c r="AL13">
        <v>106.175068</v>
      </c>
      <c r="AM13">
        <v>108.53345299999999</v>
      </c>
      <c r="AO13" t="s">
        <v>115</v>
      </c>
      <c r="AP13" t="s">
        <v>204</v>
      </c>
      <c r="AQ13" t="s">
        <v>80</v>
      </c>
      <c r="AR13" t="s">
        <v>81</v>
      </c>
      <c r="AS13" t="s">
        <v>81</v>
      </c>
      <c r="AT13" t="s">
        <v>206</v>
      </c>
      <c r="AU13" t="s">
        <v>83</v>
      </c>
      <c r="AV13">
        <v>3</v>
      </c>
      <c r="AW13">
        <v>1</v>
      </c>
      <c r="AX13" t="s">
        <v>182</v>
      </c>
      <c r="AY13" t="s">
        <v>58</v>
      </c>
      <c r="AZ13" t="s">
        <v>59</v>
      </c>
      <c r="BA13">
        <v>121.012389</v>
      </c>
      <c r="BB13" t="s">
        <v>183</v>
      </c>
    </row>
    <row r="14" spans="1:56" x14ac:dyDescent="0.2">
      <c r="B14">
        <v>12</v>
      </c>
      <c r="C14">
        <v>12</v>
      </c>
      <c r="D14">
        <v>0</v>
      </c>
      <c r="G14" t="s">
        <v>98</v>
      </c>
      <c r="H14" t="s">
        <v>66</v>
      </c>
      <c r="I14" t="s">
        <v>77</v>
      </c>
      <c r="J14" t="s">
        <v>66</v>
      </c>
      <c r="K14" t="s">
        <v>207</v>
      </c>
      <c r="L14" t="s">
        <v>208</v>
      </c>
      <c r="M14" t="s">
        <v>80</v>
      </c>
      <c r="N14" t="s">
        <v>81</v>
      </c>
      <c r="O14" t="s">
        <v>81</v>
      </c>
      <c r="P14" t="s">
        <v>209</v>
      </c>
      <c r="Q14" t="s">
        <v>83</v>
      </c>
      <c r="U14">
        <v>0</v>
      </c>
      <c r="V14">
        <v>12</v>
      </c>
      <c r="W14">
        <v>12</v>
      </c>
      <c r="X14">
        <v>7</v>
      </c>
      <c r="Y14">
        <v>108.558482</v>
      </c>
      <c r="AG14">
        <v>108.534954</v>
      </c>
      <c r="AH14">
        <v>108.558482</v>
      </c>
      <c r="AI14">
        <v>108.558482</v>
      </c>
      <c r="AJ14">
        <v>108.558482</v>
      </c>
      <c r="AK14">
        <v>1.4090800000000001E-3</v>
      </c>
      <c r="AM14">
        <v>113.501138</v>
      </c>
      <c r="AN14" t="s">
        <v>66</v>
      </c>
      <c r="AO14" t="s">
        <v>207</v>
      </c>
      <c r="AP14" t="s">
        <v>208</v>
      </c>
      <c r="AQ14" t="s">
        <v>80</v>
      </c>
      <c r="AR14" t="s">
        <v>81</v>
      </c>
      <c r="AS14" t="s">
        <v>81</v>
      </c>
      <c r="AT14" t="s">
        <v>209</v>
      </c>
      <c r="AU14" t="s">
        <v>83</v>
      </c>
      <c r="AV14">
        <v>3</v>
      </c>
      <c r="AW14">
        <v>1</v>
      </c>
      <c r="AX14" t="s">
        <v>182</v>
      </c>
      <c r="AY14" t="s">
        <v>58</v>
      </c>
      <c r="AZ14" t="s">
        <v>59</v>
      </c>
      <c r="BA14">
        <v>121.012389</v>
      </c>
      <c r="BB14" t="s">
        <v>183</v>
      </c>
    </row>
    <row r="15" spans="1:56" x14ac:dyDescent="0.2">
      <c r="B15">
        <v>13</v>
      </c>
      <c r="C15">
        <v>13</v>
      </c>
      <c r="D15">
        <v>0</v>
      </c>
      <c r="G15" t="s">
        <v>91</v>
      </c>
      <c r="H15" t="s">
        <v>64</v>
      </c>
      <c r="I15" t="s">
        <v>77</v>
      </c>
      <c r="J15" t="s">
        <v>64</v>
      </c>
      <c r="K15" t="s">
        <v>210</v>
      </c>
      <c r="L15" t="s">
        <v>211</v>
      </c>
      <c r="M15" t="s">
        <v>80</v>
      </c>
      <c r="N15" t="s">
        <v>81</v>
      </c>
      <c r="O15" t="s">
        <v>81</v>
      </c>
      <c r="P15" t="s">
        <v>212</v>
      </c>
      <c r="Q15" t="s">
        <v>83</v>
      </c>
      <c r="U15">
        <v>0</v>
      </c>
      <c r="V15">
        <v>13</v>
      </c>
      <c r="W15">
        <v>13</v>
      </c>
      <c r="X15">
        <v>5</v>
      </c>
      <c r="Y15">
        <v>113.512294</v>
      </c>
      <c r="AG15">
        <v>113.50306999999999</v>
      </c>
      <c r="AH15">
        <v>113.512294</v>
      </c>
      <c r="AI15">
        <v>113.512294</v>
      </c>
      <c r="AJ15">
        <v>113.512294</v>
      </c>
      <c r="AK15">
        <v>1.8292499999999999E-3</v>
      </c>
      <c r="AM15">
        <v>116.88360299999999</v>
      </c>
      <c r="AN15" t="s">
        <v>64</v>
      </c>
      <c r="AO15" t="s">
        <v>210</v>
      </c>
      <c r="AP15" t="s">
        <v>211</v>
      </c>
      <c r="AQ15" t="s">
        <v>80</v>
      </c>
      <c r="AR15" t="s">
        <v>81</v>
      </c>
      <c r="AS15" t="s">
        <v>81</v>
      </c>
      <c r="AT15" t="s">
        <v>212</v>
      </c>
      <c r="AU15" t="s">
        <v>83</v>
      </c>
      <c r="AV15">
        <v>3</v>
      </c>
      <c r="AW15">
        <v>1</v>
      </c>
      <c r="AX15" t="s">
        <v>182</v>
      </c>
      <c r="AY15" t="s">
        <v>58</v>
      </c>
      <c r="AZ15" t="s">
        <v>59</v>
      </c>
      <c r="BA15">
        <v>121.012389</v>
      </c>
      <c r="BB15" t="s">
        <v>183</v>
      </c>
    </row>
    <row r="16" spans="1:56" x14ac:dyDescent="0.2">
      <c r="B16">
        <v>14</v>
      </c>
      <c r="C16">
        <v>14</v>
      </c>
      <c r="D16">
        <v>0</v>
      </c>
      <c r="G16" t="s">
        <v>76</v>
      </c>
      <c r="H16" t="s">
        <v>65</v>
      </c>
      <c r="I16" t="s">
        <v>77</v>
      </c>
      <c r="J16" t="s">
        <v>65</v>
      </c>
      <c r="K16" t="s">
        <v>213</v>
      </c>
      <c r="L16" t="s">
        <v>136</v>
      </c>
      <c r="M16" t="s">
        <v>80</v>
      </c>
      <c r="N16" t="s">
        <v>81</v>
      </c>
      <c r="O16" t="s">
        <v>81</v>
      </c>
      <c r="P16" t="s">
        <v>214</v>
      </c>
      <c r="Q16" t="s">
        <v>83</v>
      </c>
      <c r="U16">
        <v>0</v>
      </c>
      <c r="V16">
        <v>14</v>
      </c>
      <c r="W16">
        <v>14</v>
      </c>
      <c r="X16">
        <v>3</v>
      </c>
      <c r="Y16">
        <v>116.894704</v>
      </c>
      <c r="AG16">
        <v>116.88553</v>
      </c>
      <c r="AH16">
        <v>116.894704</v>
      </c>
      <c r="AI16">
        <v>116.894704</v>
      </c>
      <c r="AJ16">
        <v>116.894704</v>
      </c>
      <c r="AK16">
        <v>1.82704E-3</v>
      </c>
      <c r="AM16">
        <v>121.218012</v>
      </c>
      <c r="AN16" t="s">
        <v>65</v>
      </c>
      <c r="AO16" t="s">
        <v>213</v>
      </c>
      <c r="AP16" t="s">
        <v>136</v>
      </c>
      <c r="AQ16" t="s">
        <v>80</v>
      </c>
      <c r="AR16" t="s">
        <v>81</v>
      </c>
      <c r="AS16" t="s">
        <v>81</v>
      </c>
      <c r="AT16" t="s">
        <v>214</v>
      </c>
      <c r="AU16" t="s">
        <v>83</v>
      </c>
      <c r="AV16">
        <v>3</v>
      </c>
      <c r="AW16">
        <v>1</v>
      </c>
      <c r="AX16" t="s">
        <v>182</v>
      </c>
      <c r="AY16" t="s">
        <v>58</v>
      </c>
      <c r="AZ16" t="s">
        <v>59</v>
      </c>
      <c r="BA16">
        <v>121.012389</v>
      </c>
      <c r="BB16" t="s">
        <v>183</v>
      </c>
    </row>
    <row r="17" spans="1:54" x14ac:dyDescent="0.2">
      <c r="B17">
        <v>15</v>
      </c>
      <c r="C17">
        <v>15</v>
      </c>
      <c r="D17">
        <v>0</v>
      </c>
      <c r="G17" t="s">
        <v>106</v>
      </c>
      <c r="H17" t="s">
        <v>74</v>
      </c>
      <c r="I17" t="s">
        <v>77</v>
      </c>
      <c r="J17" t="s">
        <v>74</v>
      </c>
      <c r="K17" t="s">
        <v>215</v>
      </c>
      <c r="L17" t="s">
        <v>170</v>
      </c>
      <c r="M17" t="s">
        <v>80</v>
      </c>
      <c r="N17" t="s">
        <v>81</v>
      </c>
      <c r="O17" t="s">
        <v>81</v>
      </c>
      <c r="P17" t="s">
        <v>216</v>
      </c>
      <c r="Q17" t="s">
        <v>83</v>
      </c>
      <c r="U17">
        <v>0</v>
      </c>
      <c r="V17">
        <v>15</v>
      </c>
      <c r="W17">
        <v>15</v>
      </c>
      <c r="X17">
        <v>12</v>
      </c>
      <c r="Y17">
        <v>121.228852</v>
      </c>
      <c r="AG17">
        <v>121.219857</v>
      </c>
      <c r="AH17">
        <v>121.228852</v>
      </c>
      <c r="AI17">
        <v>121.228852</v>
      </c>
      <c r="AJ17">
        <v>121.228852</v>
      </c>
      <c r="AK17">
        <v>1.74288E-3</v>
      </c>
      <c r="AM17">
        <v>124.134045</v>
      </c>
      <c r="AN17" t="s">
        <v>74</v>
      </c>
      <c r="AO17" t="s">
        <v>215</v>
      </c>
      <c r="AP17" t="s">
        <v>170</v>
      </c>
      <c r="AQ17" t="s">
        <v>80</v>
      </c>
      <c r="AR17" t="s">
        <v>81</v>
      </c>
      <c r="AS17" t="s">
        <v>81</v>
      </c>
      <c r="AT17" t="s">
        <v>216</v>
      </c>
      <c r="AU17" t="s">
        <v>83</v>
      </c>
      <c r="AV17">
        <v>3</v>
      </c>
      <c r="AW17">
        <v>1</v>
      </c>
      <c r="AX17" t="s">
        <v>182</v>
      </c>
      <c r="AY17" t="s">
        <v>58</v>
      </c>
      <c r="AZ17" t="s">
        <v>59</v>
      </c>
      <c r="BA17">
        <v>121.012389</v>
      </c>
      <c r="BB17" t="s">
        <v>183</v>
      </c>
    </row>
    <row r="18" spans="1:54" x14ac:dyDescent="0.2">
      <c r="B18">
        <v>16</v>
      </c>
      <c r="C18">
        <v>16</v>
      </c>
      <c r="D18">
        <v>0</v>
      </c>
      <c r="G18" t="s">
        <v>142</v>
      </c>
      <c r="H18" t="s">
        <v>143</v>
      </c>
      <c r="I18" t="s">
        <v>120</v>
      </c>
      <c r="J18" t="s">
        <v>143</v>
      </c>
      <c r="K18" t="s">
        <v>217</v>
      </c>
      <c r="L18" t="s">
        <v>218</v>
      </c>
      <c r="M18" t="s">
        <v>219</v>
      </c>
      <c r="N18" t="s">
        <v>220</v>
      </c>
      <c r="O18" t="s">
        <v>220</v>
      </c>
      <c r="P18" t="s">
        <v>221</v>
      </c>
      <c r="Q18" t="s">
        <v>222</v>
      </c>
      <c r="U18">
        <v>0</v>
      </c>
      <c r="V18">
        <v>16</v>
      </c>
      <c r="W18">
        <v>16</v>
      </c>
      <c r="X18">
        <v>15</v>
      </c>
      <c r="Y18">
        <v>124.145053</v>
      </c>
      <c r="AG18">
        <v>124.136139</v>
      </c>
      <c r="AH18">
        <v>124.145053</v>
      </c>
      <c r="AI18">
        <v>124.145053</v>
      </c>
      <c r="AJ18">
        <v>124.145053</v>
      </c>
      <c r="AK18">
        <v>1.9940800000000001E-3</v>
      </c>
      <c r="AM18">
        <v>130.45100500000001</v>
      </c>
      <c r="AN18" t="s">
        <v>143</v>
      </c>
      <c r="AO18" t="s">
        <v>217</v>
      </c>
      <c r="AP18" t="s">
        <v>218</v>
      </c>
      <c r="AQ18" t="s">
        <v>219</v>
      </c>
      <c r="AR18" t="s">
        <v>220</v>
      </c>
      <c r="AS18" t="s">
        <v>220</v>
      </c>
      <c r="AT18" t="s">
        <v>221</v>
      </c>
      <c r="AU18" t="s">
        <v>222</v>
      </c>
      <c r="AV18">
        <v>3</v>
      </c>
      <c r="AW18">
        <v>1</v>
      </c>
      <c r="AX18" t="s">
        <v>182</v>
      </c>
      <c r="AY18" t="s">
        <v>58</v>
      </c>
      <c r="AZ18" t="s">
        <v>59</v>
      </c>
      <c r="BA18">
        <v>121.012389</v>
      </c>
      <c r="BB18" t="s">
        <v>183</v>
      </c>
    </row>
    <row r="19" spans="1:54" x14ac:dyDescent="0.2">
      <c r="B19">
        <v>17</v>
      </c>
      <c r="C19">
        <v>17</v>
      </c>
      <c r="D19">
        <v>0</v>
      </c>
      <c r="G19" t="s">
        <v>134</v>
      </c>
      <c r="H19" t="s">
        <v>56</v>
      </c>
      <c r="I19" t="s">
        <v>77</v>
      </c>
      <c r="J19" t="s">
        <v>56</v>
      </c>
      <c r="K19" t="s">
        <v>223</v>
      </c>
      <c r="L19" t="s">
        <v>224</v>
      </c>
      <c r="M19" t="s">
        <v>80</v>
      </c>
      <c r="N19" t="s">
        <v>81</v>
      </c>
      <c r="O19" t="s">
        <v>81</v>
      </c>
      <c r="P19" t="s">
        <v>225</v>
      </c>
      <c r="Q19" t="s">
        <v>83</v>
      </c>
      <c r="U19">
        <v>0</v>
      </c>
      <c r="V19">
        <v>17</v>
      </c>
      <c r="W19">
        <v>17</v>
      </c>
      <c r="X19">
        <v>4</v>
      </c>
      <c r="Y19">
        <v>130.46140500000001</v>
      </c>
      <c r="AG19">
        <v>130.452766</v>
      </c>
      <c r="AH19">
        <v>130.46140500000001</v>
      </c>
      <c r="AI19">
        <v>130.46140500000001</v>
      </c>
      <c r="AJ19">
        <v>130.46140500000001</v>
      </c>
      <c r="AK19">
        <v>1.6487100000000001E-3</v>
      </c>
      <c r="AM19">
        <v>134.13479699999999</v>
      </c>
      <c r="AN19" t="s">
        <v>56</v>
      </c>
      <c r="AO19" t="s">
        <v>223</v>
      </c>
      <c r="AP19" t="s">
        <v>224</v>
      </c>
      <c r="AQ19" t="s">
        <v>80</v>
      </c>
      <c r="AR19" t="s">
        <v>81</v>
      </c>
      <c r="AS19" t="s">
        <v>81</v>
      </c>
      <c r="AT19" t="s">
        <v>225</v>
      </c>
      <c r="AU19" t="s">
        <v>83</v>
      </c>
      <c r="AV19">
        <v>3</v>
      </c>
      <c r="AW19">
        <v>1</v>
      </c>
      <c r="AX19" t="s">
        <v>182</v>
      </c>
      <c r="AY19" t="s">
        <v>58</v>
      </c>
      <c r="AZ19" t="s">
        <v>59</v>
      </c>
      <c r="BA19">
        <v>121.012389</v>
      </c>
      <c r="BB19" t="s">
        <v>183</v>
      </c>
    </row>
    <row r="20" spans="1:54" x14ac:dyDescent="0.2">
      <c r="B20">
        <v>18</v>
      </c>
      <c r="C20">
        <v>18</v>
      </c>
      <c r="D20">
        <v>0</v>
      </c>
      <c r="G20" t="s">
        <v>109</v>
      </c>
      <c r="H20" t="s">
        <v>75</v>
      </c>
      <c r="I20" t="s">
        <v>77</v>
      </c>
      <c r="J20" t="s">
        <v>75</v>
      </c>
      <c r="K20" t="s">
        <v>226</v>
      </c>
      <c r="L20" t="s">
        <v>227</v>
      </c>
      <c r="M20" t="s">
        <v>80</v>
      </c>
      <c r="N20" t="s">
        <v>81</v>
      </c>
      <c r="O20" t="s">
        <v>81</v>
      </c>
      <c r="P20" t="s">
        <v>228</v>
      </c>
      <c r="Q20" t="s">
        <v>83</v>
      </c>
      <c r="U20">
        <v>0</v>
      </c>
      <c r="V20">
        <v>18</v>
      </c>
      <c r="W20">
        <v>18</v>
      </c>
      <c r="X20">
        <v>11</v>
      </c>
      <c r="Y20">
        <v>134.145849</v>
      </c>
      <c r="AG20">
        <v>134.13691299999999</v>
      </c>
      <c r="AH20">
        <v>134.145849</v>
      </c>
      <c r="AI20">
        <v>134.145849</v>
      </c>
      <c r="AJ20">
        <v>134.145849</v>
      </c>
      <c r="AK20">
        <v>2.0208700000000001E-3</v>
      </c>
      <c r="AM20">
        <v>139.36743000000001</v>
      </c>
      <c r="AN20" t="s">
        <v>75</v>
      </c>
      <c r="AO20" t="s">
        <v>226</v>
      </c>
      <c r="AP20" t="s">
        <v>227</v>
      </c>
      <c r="AQ20" t="s">
        <v>80</v>
      </c>
      <c r="AR20" t="s">
        <v>81</v>
      </c>
      <c r="AS20" t="s">
        <v>81</v>
      </c>
      <c r="AT20" t="s">
        <v>228</v>
      </c>
      <c r="AU20" t="s">
        <v>83</v>
      </c>
      <c r="AV20">
        <v>3</v>
      </c>
      <c r="AW20">
        <v>1</v>
      </c>
      <c r="AX20" t="s">
        <v>182</v>
      </c>
      <c r="AY20" t="s">
        <v>58</v>
      </c>
      <c r="AZ20" t="s">
        <v>59</v>
      </c>
      <c r="BA20">
        <v>121.012389</v>
      </c>
      <c r="BB20" t="s">
        <v>183</v>
      </c>
    </row>
    <row r="21" spans="1:54" x14ac:dyDescent="0.2">
      <c r="B21">
        <v>19</v>
      </c>
      <c r="C21">
        <v>19</v>
      </c>
      <c r="D21">
        <v>0</v>
      </c>
      <c r="G21" t="s">
        <v>147</v>
      </c>
      <c r="H21" t="s">
        <v>63</v>
      </c>
      <c r="I21" t="s">
        <v>77</v>
      </c>
      <c r="J21" t="s">
        <v>63</v>
      </c>
      <c r="K21" t="s">
        <v>229</v>
      </c>
      <c r="L21" t="s">
        <v>136</v>
      </c>
      <c r="M21" t="s">
        <v>80</v>
      </c>
      <c r="N21" t="s">
        <v>81</v>
      </c>
      <c r="O21" t="s">
        <v>81</v>
      </c>
      <c r="P21" t="s">
        <v>230</v>
      </c>
      <c r="Q21" t="s">
        <v>83</v>
      </c>
      <c r="U21">
        <v>0</v>
      </c>
      <c r="V21">
        <v>19</v>
      </c>
      <c r="W21">
        <v>19</v>
      </c>
      <c r="X21">
        <v>6</v>
      </c>
      <c r="Y21">
        <v>139.37862699999999</v>
      </c>
      <c r="AG21">
        <v>139.36916299999999</v>
      </c>
      <c r="AH21">
        <v>139.37862699999999</v>
      </c>
      <c r="AI21">
        <v>139.37862699999999</v>
      </c>
      <c r="AJ21">
        <v>139.37862699999999</v>
      </c>
      <c r="AK21">
        <v>1.6445400000000001E-3</v>
      </c>
      <c r="AM21">
        <v>143.45138700000001</v>
      </c>
      <c r="AN21" t="s">
        <v>63</v>
      </c>
      <c r="AO21" t="s">
        <v>229</v>
      </c>
      <c r="AP21" t="s">
        <v>136</v>
      </c>
      <c r="AQ21" t="s">
        <v>80</v>
      </c>
      <c r="AR21" t="s">
        <v>81</v>
      </c>
      <c r="AS21" t="s">
        <v>81</v>
      </c>
      <c r="AT21" t="s">
        <v>230</v>
      </c>
      <c r="AU21" t="s">
        <v>83</v>
      </c>
      <c r="AV21">
        <v>3</v>
      </c>
      <c r="AW21">
        <v>1</v>
      </c>
      <c r="AX21" t="s">
        <v>182</v>
      </c>
      <c r="AY21" t="s">
        <v>58</v>
      </c>
      <c r="AZ21" t="s">
        <v>59</v>
      </c>
      <c r="BA21">
        <v>121.012389</v>
      </c>
      <c r="BB21" t="s">
        <v>183</v>
      </c>
    </row>
    <row r="25" spans="1:54" ht="19" x14ac:dyDescent="0.25">
      <c r="A25" s="9" t="s">
        <v>231</v>
      </c>
      <c r="B25" s="9"/>
      <c r="C25" s="9"/>
      <c r="D25" s="9"/>
    </row>
    <row r="27" spans="1:54" x14ac:dyDescent="0.2">
      <c r="A27" t="s">
        <v>6</v>
      </c>
      <c r="B27" t="s">
        <v>7</v>
      </c>
      <c r="C27" t="s">
        <v>8</v>
      </c>
      <c r="D27" t="s">
        <v>9</v>
      </c>
      <c r="F27" s="2"/>
      <c r="G27" s="8" t="s">
        <v>163</v>
      </c>
      <c r="H27" s="8"/>
      <c r="I27" s="5"/>
    </row>
    <row r="28" spans="1:54" x14ac:dyDescent="0.2">
      <c r="A28" s="4" t="s">
        <v>138</v>
      </c>
      <c r="B28" s="4" t="s">
        <v>72</v>
      </c>
      <c r="C28" s="4" t="s">
        <v>120</v>
      </c>
      <c r="D28" s="4" t="s">
        <v>56</v>
      </c>
      <c r="F28" s="2"/>
      <c r="G28" s="8" t="s">
        <v>164</v>
      </c>
      <c r="H28" s="8"/>
      <c r="I28" s="6"/>
    </row>
    <row r="29" spans="1:54" x14ac:dyDescent="0.2">
      <c r="A29" t="s">
        <v>130</v>
      </c>
      <c r="B29" t="s">
        <v>68</v>
      </c>
      <c r="C29" t="s">
        <v>77</v>
      </c>
      <c r="D29" t="s">
        <v>68</v>
      </c>
      <c r="F29" s="2"/>
      <c r="G29" s="2"/>
      <c r="H29" s="2"/>
      <c r="I29" s="2"/>
    </row>
    <row r="30" spans="1:54" x14ac:dyDescent="0.2">
      <c r="A30" t="s">
        <v>102</v>
      </c>
      <c r="B30" t="s">
        <v>71</v>
      </c>
      <c r="C30" t="s">
        <v>77</v>
      </c>
      <c r="D30" t="s">
        <v>71</v>
      </c>
      <c r="F30" s="8" t="s">
        <v>165</v>
      </c>
      <c r="G30" s="8"/>
      <c r="H30" s="8"/>
      <c r="I30" s="2">
        <v>14</v>
      </c>
    </row>
    <row r="31" spans="1:54" x14ac:dyDescent="0.2">
      <c r="A31" t="s">
        <v>84</v>
      </c>
      <c r="B31" t="s">
        <v>67</v>
      </c>
      <c r="C31" t="s">
        <v>77</v>
      </c>
      <c r="D31" t="s">
        <v>67</v>
      </c>
      <c r="F31" s="8" t="s">
        <v>166</v>
      </c>
      <c r="G31" s="8"/>
      <c r="H31" s="8"/>
      <c r="I31" s="2">
        <v>6</v>
      </c>
    </row>
    <row r="32" spans="1:54" x14ac:dyDescent="0.2">
      <c r="A32" t="s">
        <v>113</v>
      </c>
      <c r="B32" t="s">
        <v>70</v>
      </c>
      <c r="C32" t="s">
        <v>77</v>
      </c>
      <c r="D32" t="s">
        <v>70</v>
      </c>
      <c r="F32" s="8" t="s">
        <v>167</v>
      </c>
      <c r="G32" s="8"/>
      <c r="H32" s="8"/>
      <c r="I32" s="2">
        <v>20</v>
      </c>
    </row>
    <row r="33" spans="1:9" x14ac:dyDescent="0.2">
      <c r="A33" s="4" t="s">
        <v>124</v>
      </c>
      <c r="B33" s="4" t="s">
        <v>125</v>
      </c>
      <c r="C33" s="4" t="s">
        <v>120</v>
      </c>
      <c r="D33" s="4" t="s">
        <v>194</v>
      </c>
    </row>
    <row r="34" spans="1:9" x14ac:dyDescent="0.2">
      <c r="A34" s="4" t="s">
        <v>150</v>
      </c>
      <c r="B34" s="4" t="s">
        <v>151</v>
      </c>
      <c r="C34" s="4" t="s">
        <v>120</v>
      </c>
      <c r="D34" s="4"/>
    </row>
    <row r="35" spans="1:9" x14ac:dyDescent="0.2">
      <c r="A35" t="s">
        <v>88</v>
      </c>
      <c r="B35" t="s">
        <v>69</v>
      </c>
      <c r="C35" t="s">
        <v>77</v>
      </c>
      <c r="D35" t="s">
        <v>69</v>
      </c>
    </row>
    <row r="36" spans="1:9" x14ac:dyDescent="0.2">
      <c r="A36" t="s">
        <v>159</v>
      </c>
      <c r="B36" t="s">
        <v>73</v>
      </c>
      <c r="C36" t="s">
        <v>77</v>
      </c>
      <c r="D36" t="s">
        <v>73</v>
      </c>
    </row>
    <row r="37" spans="1:9" x14ac:dyDescent="0.2">
      <c r="A37" t="s">
        <v>154</v>
      </c>
      <c r="B37" t="s">
        <v>155</v>
      </c>
      <c r="C37" t="s">
        <v>120</v>
      </c>
      <c r="D37" t="s">
        <v>155</v>
      </c>
    </row>
    <row r="38" spans="1:9" x14ac:dyDescent="0.2">
      <c r="A38" t="s">
        <v>94</v>
      </c>
      <c r="B38" t="s">
        <v>62</v>
      </c>
      <c r="C38" t="s">
        <v>77</v>
      </c>
      <c r="D38" t="s">
        <v>62</v>
      </c>
    </row>
    <row r="39" spans="1:9" x14ac:dyDescent="0.2">
      <c r="A39" s="4" t="s">
        <v>118</v>
      </c>
      <c r="B39" s="4" t="s">
        <v>119</v>
      </c>
      <c r="C39" s="4" t="s">
        <v>120</v>
      </c>
      <c r="D39" s="4"/>
    </row>
    <row r="40" spans="1:9" x14ac:dyDescent="0.2">
      <c r="A40" t="s">
        <v>98</v>
      </c>
      <c r="B40" t="s">
        <v>66</v>
      </c>
      <c r="C40" t="s">
        <v>77</v>
      </c>
      <c r="D40" t="s">
        <v>66</v>
      </c>
    </row>
    <row r="41" spans="1:9" x14ac:dyDescent="0.2">
      <c r="A41" t="s">
        <v>91</v>
      </c>
      <c r="B41" t="s">
        <v>64</v>
      </c>
      <c r="C41" t="s">
        <v>77</v>
      </c>
      <c r="D41" t="s">
        <v>64</v>
      </c>
      <c r="F41" s="8" t="s">
        <v>168</v>
      </c>
      <c r="G41" s="8"/>
      <c r="H41" s="8"/>
      <c r="I41" s="7">
        <f>14/14</f>
        <v>1</v>
      </c>
    </row>
    <row r="42" spans="1:9" x14ac:dyDescent="0.2">
      <c r="A42" t="s">
        <v>76</v>
      </c>
      <c r="B42" t="s">
        <v>65</v>
      </c>
      <c r="C42" t="s">
        <v>77</v>
      </c>
      <c r="D42" t="s">
        <v>65</v>
      </c>
      <c r="F42" s="8" t="s">
        <v>161</v>
      </c>
      <c r="G42" s="8"/>
      <c r="H42" s="8"/>
      <c r="I42" s="7">
        <f>2/6</f>
        <v>0.33333333333333331</v>
      </c>
    </row>
    <row r="43" spans="1:9" x14ac:dyDescent="0.2">
      <c r="A43" t="s">
        <v>106</v>
      </c>
      <c r="B43" t="s">
        <v>74</v>
      </c>
      <c r="C43" t="s">
        <v>77</v>
      </c>
      <c r="D43" t="s">
        <v>74</v>
      </c>
      <c r="F43" s="2"/>
      <c r="G43" s="2"/>
      <c r="H43" s="2"/>
      <c r="I43" s="1"/>
    </row>
    <row r="44" spans="1:9" x14ac:dyDescent="0.2">
      <c r="A44" t="s">
        <v>142</v>
      </c>
      <c r="B44" t="s">
        <v>143</v>
      </c>
      <c r="C44" t="s">
        <v>120</v>
      </c>
      <c r="D44" t="s">
        <v>143</v>
      </c>
      <c r="F44" s="8" t="s">
        <v>162</v>
      </c>
      <c r="G44" s="8"/>
      <c r="H44" s="8"/>
      <c r="I44" s="7">
        <f>I41-I42</f>
        <v>0.66666666666666674</v>
      </c>
    </row>
    <row r="45" spans="1:9" x14ac:dyDescent="0.2">
      <c r="A45" t="s">
        <v>134</v>
      </c>
      <c r="B45" t="s">
        <v>56</v>
      </c>
      <c r="C45" t="s">
        <v>77</v>
      </c>
      <c r="D45" t="s">
        <v>56</v>
      </c>
    </row>
    <row r="46" spans="1:9" x14ac:dyDescent="0.2">
      <c r="A46" t="s">
        <v>109</v>
      </c>
      <c r="B46" t="s">
        <v>75</v>
      </c>
      <c r="C46" t="s">
        <v>77</v>
      </c>
      <c r="D46" t="s">
        <v>75</v>
      </c>
    </row>
    <row r="47" spans="1:9" x14ac:dyDescent="0.2">
      <c r="A47" t="s">
        <v>147</v>
      </c>
      <c r="B47" t="s">
        <v>63</v>
      </c>
      <c r="C47" t="s">
        <v>77</v>
      </c>
      <c r="D47" t="s">
        <v>63</v>
      </c>
    </row>
  </sheetData>
  <mergeCells count="9">
    <mergeCell ref="F41:H41"/>
    <mergeCell ref="F42:H42"/>
    <mergeCell ref="F44:H44"/>
    <mergeCell ref="A25:D25"/>
    <mergeCell ref="G27:H27"/>
    <mergeCell ref="G28:H28"/>
    <mergeCell ref="F30:H30"/>
    <mergeCell ref="F31:H31"/>
    <mergeCell ref="F32:H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86A-0D19-1E49-BBF3-3552F87ECE07}">
  <dimension ref="A1:BD47"/>
  <sheetViews>
    <sheetView topLeftCell="A16" workbookViewId="0">
      <selection activeCell="I48" sqref="I48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B2">
        <v>0</v>
      </c>
      <c r="C2">
        <v>0</v>
      </c>
      <c r="D2">
        <v>0</v>
      </c>
      <c r="G2" t="s">
        <v>154</v>
      </c>
      <c r="H2" t="s">
        <v>155</v>
      </c>
      <c r="I2" t="s">
        <v>120</v>
      </c>
      <c r="J2" t="s">
        <v>155</v>
      </c>
      <c r="K2" t="s">
        <v>234</v>
      </c>
      <c r="L2" t="s">
        <v>174</v>
      </c>
      <c r="M2" t="s">
        <v>80</v>
      </c>
      <c r="N2" t="s">
        <v>81</v>
      </c>
      <c r="O2" t="s">
        <v>81</v>
      </c>
      <c r="P2" t="s">
        <v>235</v>
      </c>
      <c r="Q2" t="s">
        <v>83</v>
      </c>
      <c r="U2">
        <v>0</v>
      </c>
      <c r="V2">
        <v>0</v>
      </c>
      <c r="W2">
        <v>0</v>
      </c>
      <c r="X2">
        <v>18</v>
      </c>
      <c r="Y2">
        <v>26.933152</v>
      </c>
      <c r="AG2">
        <v>26.924542800000001</v>
      </c>
      <c r="AH2">
        <v>26.933152</v>
      </c>
      <c r="AI2">
        <v>26.933152</v>
      </c>
      <c r="AJ2">
        <v>26.933152</v>
      </c>
      <c r="AK2">
        <v>5.39858E-3</v>
      </c>
      <c r="AL2">
        <v>31.479081300000001</v>
      </c>
      <c r="AM2" t="s">
        <v>155</v>
      </c>
      <c r="AN2" t="s">
        <v>234</v>
      </c>
      <c r="AO2" t="s">
        <v>174</v>
      </c>
      <c r="AP2" t="s">
        <v>80</v>
      </c>
      <c r="AQ2" t="s">
        <v>81</v>
      </c>
      <c r="AR2" t="s">
        <v>81</v>
      </c>
      <c r="AS2" t="s">
        <v>235</v>
      </c>
      <c r="AT2" t="s">
        <v>83</v>
      </c>
      <c r="AU2">
        <v>4</v>
      </c>
      <c r="AV2">
        <v>1</v>
      </c>
      <c r="AW2" t="s">
        <v>232</v>
      </c>
      <c r="AX2" t="s">
        <v>58</v>
      </c>
      <c r="AY2" t="s">
        <v>59</v>
      </c>
      <c r="AZ2">
        <v>119.35898299999999</v>
      </c>
      <c r="BA2" t="s">
        <v>233</v>
      </c>
    </row>
    <row r="3" spans="1:56" x14ac:dyDescent="0.2">
      <c r="B3">
        <v>1</v>
      </c>
      <c r="C3">
        <v>1</v>
      </c>
      <c r="D3">
        <v>0</v>
      </c>
      <c r="G3" t="s">
        <v>94</v>
      </c>
      <c r="H3" t="s">
        <v>62</v>
      </c>
      <c r="I3" t="s">
        <v>77</v>
      </c>
      <c r="J3" t="s">
        <v>62</v>
      </c>
      <c r="K3" t="s">
        <v>89</v>
      </c>
      <c r="L3" t="s">
        <v>236</v>
      </c>
      <c r="M3" t="s">
        <v>80</v>
      </c>
      <c r="N3" t="s">
        <v>81</v>
      </c>
      <c r="O3" t="s">
        <v>81</v>
      </c>
      <c r="P3" t="s">
        <v>237</v>
      </c>
      <c r="Q3" t="s">
        <v>83</v>
      </c>
      <c r="U3">
        <v>0</v>
      </c>
      <c r="V3">
        <v>1</v>
      </c>
      <c r="W3">
        <v>1</v>
      </c>
      <c r="X3">
        <v>8</v>
      </c>
      <c r="Y3">
        <v>31.489544299999999</v>
      </c>
      <c r="AG3">
        <v>31.4809138</v>
      </c>
      <c r="AH3">
        <v>31.489544299999999</v>
      </c>
      <c r="AI3">
        <v>31.489544299999999</v>
      </c>
      <c r="AJ3">
        <v>31.489544299999999</v>
      </c>
      <c r="AK3">
        <v>1.71221E-3</v>
      </c>
      <c r="AL3">
        <v>34.2455018</v>
      </c>
      <c r="AM3" t="s">
        <v>62</v>
      </c>
      <c r="AN3" t="s">
        <v>89</v>
      </c>
      <c r="AO3" t="s">
        <v>236</v>
      </c>
      <c r="AP3" t="s">
        <v>80</v>
      </c>
      <c r="AQ3" t="s">
        <v>81</v>
      </c>
      <c r="AR3" t="s">
        <v>81</v>
      </c>
      <c r="AS3" t="s">
        <v>237</v>
      </c>
      <c r="AT3" t="s">
        <v>83</v>
      </c>
      <c r="AU3">
        <v>4</v>
      </c>
      <c r="AV3">
        <v>1</v>
      </c>
      <c r="AW3" t="s">
        <v>232</v>
      </c>
      <c r="AX3" t="s">
        <v>58</v>
      </c>
      <c r="AY3" t="s">
        <v>59</v>
      </c>
      <c r="AZ3">
        <v>119.35898299999999</v>
      </c>
      <c r="BA3" t="s">
        <v>233</v>
      </c>
    </row>
    <row r="4" spans="1:56" x14ac:dyDescent="0.2">
      <c r="B4">
        <v>2</v>
      </c>
      <c r="C4">
        <v>2</v>
      </c>
      <c r="D4">
        <v>0</v>
      </c>
      <c r="G4" t="s">
        <v>76</v>
      </c>
      <c r="H4" t="s">
        <v>65</v>
      </c>
      <c r="I4" t="s">
        <v>77</v>
      </c>
      <c r="J4" t="s">
        <v>65</v>
      </c>
      <c r="K4" t="s">
        <v>210</v>
      </c>
      <c r="L4" t="s">
        <v>145</v>
      </c>
      <c r="M4" t="s">
        <v>80</v>
      </c>
      <c r="N4" t="s">
        <v>81</v>
      </c>
      <c r="O4" t="s">
        <v>81</v>
      </c>
      <c r="P4" t="s">
        <v>238</v>
      </c>
      <c r="Q4" t="s">
        <v>83</v>
      </c>
      <c r="U4">
        <v>0</v>
      </c>
      <c r="V4">
        <v>2</v>
      </c>
      <c r="W4">
        <v>2</v>
      </c>
      <c r="X4">
        <v>3</v>
      </c>
      <c r="Y4">
        <v>34.256774499999999</v>
      </c>
      <c r="AG4">
        <v>34.247693499999997</v>
      </c>
      <c r="AH4">
        <v>34.256774499999999</v>
      </c>
      <c r="AI4">
        <v>34.256774499999999</v>
      </c>
      <c r="AJ4">
        <v>34.256774499999999</v>
      </c>
      <c r="AK4">
        <v>2.07763E-3</v>
      </c>
      <c r="AL4">
        <v>36.878710300000002</v>
      </c>
      <c r="AM4" t="s">
        <v>65</v>
      </c>
      <c r="AN4" t="s">
        <v>210</v>
      </c>
      <c r="AO4" t="s">
        <v>145</v>
      </c>
      <c r="AP4" t="s">
        <v>80</v>
      </c>
      <c r="AQ4" t="s">
        <v>81</v>
      </c>
      <c r="AR4" t="s">
        <v>81</v>
      </c>
      <c r="AS4" t="s">
        <v>238</v>
      </c>
      <c r="AT4" t="s">
        <v>83</v>
      </c>
      <c r="AU4">
        <v>4</v>
      </c>
      <c r="AV4">
        <v>1</v>
      </c>
      <c r="AW4" t="s">
        <v>232</v>
      </c>
      <c r="AX4" t="s">
        <v>58</v>
      </c>
      <c r="AY4" t="s">
        <v>59</v>
      </c>
      <c r="AZ4">
        <v>119.35898299999999</v>
      </c>
      <c r="BA4" t="s">
        <v>233</v>
      </c>
    </row>
    <row r="5" spans="1:56" x14ac:dyDescent="0.2">
      <c r="B5">
        <v>3</v>
      </c>
      <c r="C5">
        <v>3</v>
      </c>
      <c r="D5">
        <v>0</v>
      </c>
      <c r="G5" t="s">
        <v>102</v>
      </c>
      <c r="H5" t="s">
        <v>71</v>
      </c>
      <c r="I5" t="s">
        <v>77</v>
      </c>
      <c r="J5" t="s">
        <v>71</v>
      </c>
      <c r="K5" t="s">
        <v>239</v>
      </c>
      <c r="L5" t="s">
        <v>116</v>
      </c>
      <c r="M5" t="s">
        <v>80</v>
      </c>
      <c r="N5" t="s">
        <v>81</v>
      </c>
      <c r="O5" t="s">
        <v>81</v>
      </c>
      <c r="P5" t="s">
        <v>240</v>
      </c>
      <c r="Q5" t="s">
        <v>83</v>
      </c>
      <c r="U5">
        <v>0</v>
      </c>
      <c r="V5">
        <v>3</v>
      </c>
      <c r="W5">
        <v>3</v>
      </c>
      <c r="X5">
        <v>0</v>
      </c>
      <c r="Y5">
        <v>36.888919999999999</v>
      </c>
      <c r="AG5">
        <v>36.880668900000003</v>
      </c>
      <c r="AH5">
        <v>36.888919999999999</v>
      </c>
      <c r="AI5">
        <v>36.888919999999999</v>
      </c>
      <c r="AJ5">
        <v>36.888919999999999</v>
      </c>
      <c r="AK5">
        <v>1.8599199999999999E-3</v>
      </c>
      <c r="AL5">
        <v>40.378507800000001</v>
      </c>
      <c r="AM5" t="s">
        <v>71</v>
      </c>
      <c r="AN5" t="s">
        <v>239</v>
      </c>
      <c r="AO5" t="s">
        <v>116</v>
      </c>
      <c r="AP5" t="s">
        <v>80</v>
      </c>
      <c r="AQ5" t="s">
        <v>81</v>
      </c>
      <c r="AR5" t="s">
        <v>81</v>
      </c>
      <c r="AS5" t="s">
        <v>240</v>
      </c>
      <c r="AT5" t="s">
        <v>83</v>
      </c>
      <c r="AU5">
        <v>4</v>
      </c>
      <c r="AV5">
        <v>1</v>
      </c>
      <c r="AW5" t="s">
        <v>232</v>
      </c>
      <c r="AX5" t="s">
        <v>58</v>
      </c>
      <c r="AY5" t="s">
        <v>59</v>
      </c>
      <c r="AZ5">
        <v>119.35898299999999</v>
      </c>
      <c r="BA5" t="s">
        <v>233</v>
      </c>
    </row>
    <row r="6" spans="1:56" x14ac:dyDescent="0.2">
      <c r="B6">
        <v>4</v>
      </c>
      <c r="C6">
        <v>4</v>
      </c>
      <c r="D6">
        <v>0</v>
      </c>
      <c r="G6" t="s">
        <v>109</v>
      </c>
      <c r="H6" t="s">
        <v>75</v>
      </c>
      <c r="I6" t="s">
        <v>77</v>
      </c>
      <c r="J6" t="s">
        <v>75</v>
      </c>
      <c r="K6" t="s">
        <v>241</v>
      </c>
      <c r="L6" t="s">
        <v>179</v>
      </c>
      <c r="M6" t="s">
        <v>80</v>
      </c>
      <c r="N6" t="s">
        <v>81</v>
      </c>
      <c r="O6" t="s">
        <v>81</v>
      </c>
      <c r="P6" t="s">
        <v>242</v>
      </c>
      <c r="Q6" t="s">
        <v>83</v>
      </c>
      <c r="U6">
        <v>0</v>
      </c>
      <c r="V6">
        <v>4</v>
      </c>
      <c r="W6">
        <v>4</v>
      </c>
      <c r="X6">
        <v>11</v>
      </c>
      <c r="Y6">
        <v>40.389946000000002</v>
      </c>
      <c r="AG6">
        <v>40.380674200000001</v>
      </c>
      <c r="AH6">
        <v>40.389946000000002</v>
      </c>
      <c r="AI6">
        <v>40.389946000000002</v>
      </c>
      <c r="AJ6">
        <v>40.389946000000002</v>
      </c>
      <c r="AK6">
        <v>2.0639600000000001E-3</v>
      </c>
      <c r="AL6">
        <v>45.178630200000001</v>
      </c>
      <c r="AM6" t="s">
        <v>75</v>
      </c>
      <c r="AN6" t="s">
        <v>241</v>
      </c>
      <c r="AO6" t="s">
        <v>179</v>
      </c>
      <c r="AP6" t="s">
        <v>80</v>
      </c>
      <c r="AQ6" t="s">
        <v>81</v>
      </c>
      <c r="AR6" t="s">
        <v>81</v>
      </c>
      <c r="AS6" t="s">
        <v>242</v>
      </c>
      <c r="AT6" t="s">
        <v>83</v>
      </c>
      <c r="AU6">
        <v>4</v>
      </c>
      <c r="AV6">
        <v>1</v>
      </c>
      <c r="AW6" t="s">
        <v>232</v>
      </c>
      <c r="AX6" t="s">
        <v>58</v>
      </c>
      <c r="AY6" t="s">
        <v>59</v>
      </c>
      <c r="AZ6">
        <v>119.35898299999999</v>
      </c>
      <c r="BA6" t="s">
        <v>233</v>
      </c>
    </row>
    <row r="7" spans="1:56" x14ac:dyDescent="0.2">
      <c r="B7">
        <v>5</v>
      </c>
      <c r="C7">
        <v>5</v>
      </c>
      <c r="D7">
        <v>0</v>
      </c>
      <c r="G7" t="s">
        <v>124</v>
      </c>
      <c r="H7" t="s">
        <v>125</v>
      </c>
      <c r="I7" t="s">
        <v>120</v>
      </c>
      <c r="K7" t="s">
        <v>243</v>
      </c>
      <c r="L7" t="s">
        <v>173</v>
      </c>
      <c r="M7" t="s">
        <v>80</v>
      </c>
      <c r="N7" t="s">
        <v>81</v>
      </c>
      <c r="O7" t="s">
        <v>81</v>
      </c>
      <c r="P7" t="s">
        <v>244</v>
      </c>
      <c r="Q7" t="s">
        <v>83</v>
      </c>
      <c r="U7">
        <v>0</v>
      </c>
      <c r="V7">
        <v>5</v>
      </c>
      <c r="W7">
        <v>5</v>
      </c>
      <c r="X7">
        <v>14</v>
      </c>
      <c r="Y7">
        <v>45.189673999999997</v>
      </c>
      <c r="AG7">
        <v>45.181036800000001</v>
      </c>
      <c r="AH7">
        <v>45.189673999999997</v>
      </c>
      <c r="AI7">
        <v>45.189673999999997</v>
      </c>
      <c r="AJ7">
        <v>45.189673999999997</v>
      </c>
      <c r="AK7">
        <v>2.3072100000000001E-3</v>
      </c>
      <c r="AL7">
        <v>57.695175599999999</v>
      </c>
      <c r="AN7" t="s">
        <v>243</v>
      </c>
      <c r="AO7" t="s">
        <v>173</v>
      </c>
      <c r="AP7" t="s">
        <v>80</v>
      </c>
      <c r="AQ7" t="s">
        <v>81</v>
      </c>
      <c r="AR7" t="s">
        <v>81</v>
      </c>
      <c r="AS7" t="s">
        <v>244</v>
      </c>
      <c r="AT7" t="s">
        <v>83</v>
      </c>
      <c r="AU7">
        <v>55.186607500000001</v>
      </c>
      <c r="AV7">
        <v>4</v>
      </c>
      <c r="AW7">
        <v>1</v>
      </c>
      <c r="AX7" t="s">
        <v>232</v>
      </c>
      <c r="AY7" t="s">
        <v>58</v>
      </c>
      <c r="AZ7" t="s">
        <v>59</v>
      </c>
      <c r="BA7">
        <v>119.35898299999999</v>
      </c>
      <c r="BB7" t="s">
        <v>233</v>
      </c>
    </row>
    <row r="8" spans="1:56" x14ac:dyDescent="0.2">
      <c r="B8">
        <v>6</v>
      </c>
      <c r="C8">
        <v>6</v>
      </c>
      <c r="D8">
        <v>0</v>
      </c>
      <c r="G8" t="s">
        <v>159</v>
      </c>
      <c r="H8" t="s">
        <v>73</v>
      </c>
      <c r="I8" t="s">
        <v>77</v>
      </c>
      <c r="J8" t="s">
        <v>73</v>
      </c>
      <c r="K8" t="s">
        <v>245</v>
      </c>
      <c r="L8" t="s">
        <v>246</v>
      </c>
      <c r="M8" t="s">
        <v>80</v>
      </c>
      <c r="N8" t="s">
        <v>81</v>
      </c>
      <c r="O8" t="s">
        <v>81</v>
      </c>
      <c r="P8" t="s">
        <v>247</v>
      </c>
      <c r="Q8" t="s">
        <v>83</v>
      </c>
      <c r="U8">
        <v>0</v>
      </c>
      <c r="V8">
        <v>6</v>
      </c>
      <c r="W8">
        <v>6</v>
      </c>
      <c r="X8">
        <v>1</v>
      </c>
      <c r="Y8">
        <v>57.705092499999999</v>
      </c>
      <c r="AG8">
        <v>57.697019699999998</v>
      </c>
      <c r="AH8">
        <v>57.705092499999999</v>
      </c>
      <c r="AI8">
        <v>57.705092499999999</v>
      </c>
      <c r="AJ8">
        <v>57.705092499999999</v>
      </c>
      <c r="AK8">
        <v>1.6819999999999999E-3</v>
      </c>
      <c r="AL8">
        <v>61.812307400000002</v>
      </c>
      <c r="AM8" t="s">
        <v>73</v>
      </c>
      <c r="AN8" t="s">
        <v>245</v>
      </c>
      <c r="AO8" t="s">
        <v>246</v>
      </c>
      <c r="AP8" t="s">
        <v>80</v>
      </c>
      <c r="AQ8" t="s">
        <v>81</v>
      </c>
      <c r="AR8" t="s">
        <v>81</v>
      </c>
      <c r="AS8" t="s">
        <v>247</v>
      </c>
      <c r="AT8" t="s">
        <v>83</v>
      </c>
      <c r="AU8">
        <v>4</v>
      </c>
      <c r="AV8">
        <v>1</v>
      </c>
      <c r="AW8" t="s">
        <v>232</v>
      </c>
      <c r="AX8" t="s">
        <v>58</v>
      </c>
      <c r="AY8" t="s">
        <v>59</v>
      </c>
      <c r="AZ8">
        <v>119.35898299999999</v>
      </c>
      <c r="BA8" t="s">
        <v>233</v>
      </c>
    </row>
    <row r="9" spans="1:56" x14ac:dyDescent="0.2">
      <c r="B9">
        <v>7</v>
      </c>
      <c r="C9">
        <v>7</v>
      </c>
      <c r="D9">
        <v>0</v>
      </c>
      <c r="G9" t="s">
        <v>98</v>
      </c>
      <c r="H9" t="s">
        <v>66</v>
      </c>
      <c r="I9" t="s">
        <v>77</v>
      </c>
      <c r="J9" t="s">
        <v>66</v>
      </c>
      <c r="K9" t="s">
        <v>248</v>
      </c>
      <c r="L9" t="s">
        <v>128</v>
      </c>
      <c r="M9" t="s">
        <v>80</v>
      </c>
      <c r="N9" t="s">
        <v>81</v>
      </c>
      <c r="O9" t="s">
        <v>81</v>
      </c>
      <c r="P9" t="s">
        <v>249</v>
      </c>
      <c r="Q9" t="s">
        <v>83</v>
      </c>
      <c r="U9">
        <v>0</v>
      </c>
      <c r="V9">
        <v>7</v>
      </c>
      <c r="W9">
        <v>7</v>
      </c>
      <c r="X9">
        <v>7</v>
      </c>
      <c r="Y9">
        <v>61.823192400000003</v>
      </c>
      <c r="AG9">
        <v>61.814314299999999</v>
      </c>
      <c r="AH9">
        <v>61.823192400000003</v>
      </c>
      <c r="AI9">
        <v>61.823192400000003</v>
      </c>
      <c r="AJ9">
        <v>61.823192400000003</v>
      </c>
      <c r="AK9">
        <v>1.9110799999999999E-3</v>
      </c>
      <c r="AL9">
        <v>66.395514399999996</v>
      </c>
      <c r="AM9" t="s">
        <v>66</v>
      </c>
      <c r="AN9" t="s">
        <v>248</v>
      </c>
      <c r="AO9" t="s">
        <v>128</v>
      </c>
      <c r="AP9" t="s">
        <v>80</v>
      </c>
      <c r="AQ9" t="s">
        <v>81</v>
      </c>
      <c r="AR9" t="s">
        <v>81</v>
      </c>
      <c r="AS9" t="s">
        <v>249</v>
      </c>
      <c r="AT9" t="s">
        <v>83</v>
      </c>
      <c r="AU9">
        <v>4</v>
      </c>
      <c r="AV9">
        <v>1</v>
      </c>
      <c r="AW9" t="s">
        <v>232</v>
      </c>
      <c r="AX9" t="s">
        <v>58</v>
      </c>
      <c r="AY9" t="s">
        <v>59</v>
      </c>
      <c r="AZ9">
        <v>119.35898299999999</v>
      </c>
      <c r="BA9" t="s">
        <v>233</v>
      </c>
    </row>
    <row r="10" spans="1:56" x14ac:dyDescent="0.2">
      <c r="B10">
        <v>8</v>
      </c>
      <c r="C10">
        <v>8</v>
      </c>
      <c r="D10">
        <v>0</v>
      </c>
      <c r="G10" t="s">
        <v>118</v>
      </c>
      <c r="H10" t="s">
        <v>119</v>
      </c>
      <c r="I10" t="s">
        <v>120</v>
      </c>
      <c r="J10" t="s">
        <v>250</v>
      </c>
      <c r="K10" t="s">
        <v>251</v>
      </c>
      <c r="L10" t="s">
        <v>246</v>
      </c>
      <c r="M10" t="s">
        <v>80</v>
      </c>
      <c r="N10" t="s">
        <v>81</v>
      </c>
      <c r="O10" t="s">
        <v>81</v>
      </c>
      <c r="P10" t="s">
        <v>252</v>
      </c>
      <c r="Q10" t="s">
        <v>83</v>
      </c>
      <c r="U10">
        <v>0</v>
      </c>
      <c r="V10">
        <v>8</v>
      </c>
      <c r="W10">
        <v>8</v>
      </c>
      <c r="X10">
        <v>16</v>
      </c>
      <c r="Y10">
        <v>66.408094500000004</v>
      </c>
      <c r="AG10">
        <v>66.3988157</v>
      </c>
      <c r="AH10">
        <v>66.408094500000004</v>
      </c>
      <c r="AI10">
        <v>66.408094500000004</v>
      </c>
      <c r="AJ10">
        <v>66.408094500000004</v>
      </c>
      <c r="AK10">
        <v>3.15271E-3</v>
      </c>
      <c r="AL10">
        <v>74.079413099999996</v>
      </c>
      <c r="AM10" t="s">
        <v>250</v>
      </c>
      <c r="AN10" t="s">
        <v>251</v>
      </c>
      <c r="AO10" t="s">
        <v>246</v>
      </c>
      <c r="AP10" t="s">
        <v>80</v>
      </c>
      <c r="AQ10" t="s">
        <v>81</v>
      </c>
      <c r="AR10" t="s">
        <v>81</v>
      </c>
      <c r="AS10" t="s">
        <v>252</v>
      </c>
      <c r="AT10" t="s">
        <v>83</v>
      </c>
      <c r="AU10">
        <v>4</v>
      </c>
      <c r="AV10">
        <v>1</v>
      </c>
      <c r="AW10" t="s">
        <v>232</v>
      </c>
      <c r="AX10" t="s">
        <v>58</v>
      </c>
      <c r="AY10" t="s">
        <v>59</v>
      </c>
      <c r="AZ10">
        <v>119.35898299999999</v>
      </c>
      <c r="BA10" t="s">
        <v>233</v>
      </c>
    </row>
    <row r="11" spans="1:56" x14ac:dyDescent="0.2">
      <c r="B11">
        <v>9</v>
      </c>
      <c r="C11">
        <v>9</v>
      </c>
      <c r="D11">
        <v>0</v>
      </c>
      <c r="G11" t="s">
        <v>106</v>
      </c>
      <c r="H11" t="s">
        <v>74</v>
      </c>
      <c r="I11" t="s">
        <v>77</v>
      </c>
      <c r="J11" t="s">
        <v>74</v>
      </c>
      <c r="K11" t="s">
        <v>121</v>
      </c>
      <c r="L11" t="s">
        <v>86</v>
      </c>
      <c r="M11" t="s">
        <v>80</v>
      </c>
      <c r="N11" t="s">
        <v>81</v>
      </c>
      <c r="O11" t="s">
        <v>81</v>
      </c>
      <c r="P11" t="s">
        <v>253</v>
      </c>
      <c r="Q11" t="s">
        <v>83</v>
      </c>
      <c r="U11">
        <v>0</v>
      </c>
      <c r="V11">
        <v>9</v>
      </c>
      <c r="W11">
        <v>9</v>
      </c>
      <c r="X11">
        <v>12</v>
      </c>
      <c r="Y11">
        <v>74.0903627</v>
      </c>
      <c r="AG11">
        <v>74.081427599999998</v>
      </c>
      <c r="AH11">
        <v>74.0903627</v>
      </c>
      <c r="AI11">
        <v>74.0903627</v>
      </c>
      <c r="AJ11">
        <v>74.0903627</v>
      </c>
      <c r="AK11">
        <v>1.90346E-3</v>
      </c>
      <c r="AL11">
        <v>76.946069699999995</v>
      </c>
      <c r="AM11" t="s">
        <v>74</v>
      </c>
      <c r="AN11" t="s">
        <v>121</v>
      </c>
      <c r="AO11" t="s">
        <v>86</v>
      </c>
      <c r="AP11" t="s">
        <v>80</v>
      </c>
      <c r="AQ11" t="s">
        <v>81</v>
      </c>
      <c r="AR11" t="s">
        <v>81</v>
      </c>
      <c r="AS11" t="s">
        <v>253</v>
      </c>
      <c r="AT11" t="s">
        <v>83</v>
      </c>
      <c r="AU11">
        <v>4</v>
      </c>
      <c r="AV11">
        <v>1</v>
      </c>
      <c r="AW11" t="s">
        <v>232</v>
      </c>
      <c r="AX11" t="s">
        <v>58</v>
      </c>
      <c r="AY11" t="s">
        <v>59</v>
      </c>
      <c r="AZ11">
        <v>119.35898299999999</v>
      </c>
      <c r="BA11" t="s">
        <v>233</v>
      </c>
    </row>
    <row r="12" spans="1:56" x14ac:dyDescent="0.2">
      <c r="B12">
        <v>10</v>
      </c>
      <c r="C12">
        <v>10</v>
      </c>
      <c r="D12">
        <v>0</v>
      </c>
      <c r="G12" t="s">
        <v>147</v>
      </c>
      <c r="H12" t="s">
        <v>63</v>
      </c>
      <c r="I12" t="s">
        <v>77</v>
      </c>
      <c r="J12" t="s">
        <v>63</v>
      </c>
      <c r="K12" t="s">
        <v>243</v>
      </c>
      <c r="L12" t="s">
        <v>170</v>
      </c>
      <c r="M12" t="s">
        <v>80</v>
      </c>
      <c r="N12" t="s">
        <v>81</v>
      </c>
      <c r="O12" t="s">
        <v>81</v>
      </c>
      <c r="P12" t="s">
        <v>254</v>
      </c>
      <c r="Q12" t="s">
        <v>83</v>
      </c>
      <c r="U12">
        <v>0</v>
      </c>
      <c r="V12">
        <v>10</v>
      </c>
      <c r="W12">
        <v>10</v>
      </c>
      <c r="X12">
        <v>6</v>
      </c>
      <c r="Y12">
        <v>76.956947999999997</v>
      </c>
      <c r="AG12">
        <v>76.948031400000005</v>
      </c>
      <c r="AH12">
        <v>76.956947999999997</v>
      </c>
      <c r="AI12">
        <v>76.956947999999997</v>
      </c>
      <c r="AJ12">
        <v>76.956947999999997</v>
      </c>
      <c r="AK12">
        <v>1.87104E-3</v>
      </c>
      <c r="AL12">
        <v>80.562800800000005</v>
      </c>
      <c r="AM12" t="s">
        <v>63</v>
      </c>
      <c r="AN12" t="s">
        <v>243</v>
      </c>
      <c r="AO12" t="s">
        <v>170</v>
      </c>
      <c r="AP12" t="s">
        <v>80</v>
      </c>
      <c r="AQ12" t="s">
        <v>81</v>
      </c>
      <c r="AR12" t="s">
        <v>81</v>
      </c>
      <c r="AS12" t="s">
        <v>254</v>
      </c>
      <c r="AT12" t="s">
        <v>83</v>
      </c>
      <c r="AU12">
        <v>4</v>
      </c>
      <c r="AV12">
        <v>1</v>
      </c>
      <c r="AW12" t="s">
        <v>232</v>
      </c>
      <c r="AX12" t="s">
        <v>58</v>
      </c>
      <c r="AY12" t="s">
        <v>59</v>
      </c>
      <c r="AZ12">
        <v>119.35898299999999</v>
      </c>
      <c r="BA12" t="s">
        <v>233</v>
      </c>
    </row>
    <row r="13" spans="1:56" x14ac:dyDescent="0.2">
      <c r="B13">
        <v>11</v>
      </c>
      <c r="C13">
        <v>11</v>
      </c>
      <c r="D13">
        <v>0</v>
      </c>
      <c r="G13" t="s">
        <v>150</v>
      </c>
      <c r="H13" t="s">
        <v>151</v>
      </c>
      <c r="I13" t="s">
        <v>120</v>
      </c>
      <c r="J13" t="s">
        <v>255</v>
      </c>
      <c r="K13" t="s">
        <v>256</v>
      </c>
      <c r="L13" t="s">
        <v>257</v>
      </c>
      <c r="M13" t="s">
        <v>80</v>
      </c>
      <c r="N13" t="s">
        <v>81</v>
      </c>
      <c r="O13" t="s">
        <v>81</v>
      </c>
      <c r="P13" t="s">
        <v>258</v>
      </c>
      <c r="Q13" t="s">
        <v>83</v>
      </c>
      <c r="U13">
        <v>0</v>
      </c>
      <c r="V13">
        <v>11</v>
      </c>
      <c r="W13">
        <v>11</v>
      </c>
      <c r="X13">
        <v>17</v>
      </c>
      <c r="Y13">
        <v>80.573884399999997</v>
      </c>
      <c r="AG13">
        <v>80.5647831</v>
      </c>
      <c r="AH13">
        <v>80.573884399999997</v>
      </c>
      <c r="AI13">
        <v>80.573884399999997</v>
      </c>
      <c r="AJ13">
        <v>80.573884399999997</v>
      </c>
      <c r="AK13">
        <v>1.8749999999999999E-3</v>
      </c>
      <c r="AL13">
        <v>85.229712699999993</v>
      </c>
      <c r="AM13" t="s">
        <v>255</v>
      </c>
      <c r="AN13" t="s">
        <v>256</v>
      </c>
      <c r="AO13" t="s">
        <v>257</v>
      </c>
      <c r="AP13" t="s">
        <v>80</v>
      </c>
      <c r="AQ13" t="s">
        <v>81</v>
      </c>
      <c r="AR13" t="s">
        <v>81</v>
      </c>
      <c r="AS13" t="s">
        <v>258</v>
      </c>
      <c r="AT13" t="s">
        <v>83</v>
      </c>
      <c r="AU13">
        <v>4</v>
      </c>
      <c r="AV13">
        <v>1</v>
      </c>
      <c r="AW13" t="s">
        <v>232</v>
      </c>
      <c r="AX13" t="s">
        <v>58</v>
      </c>
      <c r="AY13" t="s">
        <v>59</v>
      </c>
      <c r="AZ13">
        <v>119.35898299999999</v>
      </c>
      <c r="BA13" t="s">
        <v>233</v>
      </c>
    </row>
    <row r="14" spans="1:56" x14ac:dyDescent="0.2">
      <c r="B14">
        <v>12</v>
      </c>
      <c r="C14">
        <v>12</v>
      </c>
      <c r="D14">
        <v>0</v>
      </c>
      <c r="G14" t="s">
        <v>113</v>
      </c>
      <c r="H14" t="s">
        <v>70</v>
      </c>
      <c r="I14" t="s">
        <v>77</v>
      </c>
      <c r="J14" t="s">
        <v>176</v>
      </c>
      <c r="K14" t="s">
        <v>259</v>
      </c>
      <c r="L14" t="s">
        <v>145</v>
      </c>
      <c r="M14" t="s">
        <v>80</v>
      </c>
      <c r="N14" t="s">
        <v>81</v>
      </c>
      <c r="O14" t="s">
        <v>81</v>
      </c>
      <c r="P14" t="s">
        <v>260</v>
      </c>
      <c r="Q14" t="s">
        <v>83</v>
      </c>
      <c r="U14">
        <v>0</v>
      </c>
      <c r="V14">
        <v>12</v>
      </c>
      <c r="W14">
        <v>12</v>
      </c>
      <c r="X14">
        <v>9</v>
      </c>
      <c r="Y14">
        <v>85.240741900000003</v>
      </c>
      <c r="AG14">
        <v>85.231893400000004</v>
      </c>
      <c r="AH14">
        <v>85.240741900000003</v>
      </c>
      <c r="AI14">
        <v>85.240741900000003</v>
      </c>
      <c r="AJ14">
        <v>85.240741900000003</v>
      </c>
      <c r="AK14">
        <v>2.0783300000000002E-3</v>
      </c>
      <c r="AL14">
        <v>90.129751499999998</v>
      </c>
      <c r="AM14" t="s">
        <v>176</v>
      </c>
      <c r="AN14" t="s">
        <v>259</v>
      </c>
      <c r="AO14" t="s">
        <v>145</v>
      </c>
      <c r="AP14" t="s">
        <v>80</v>
      </c>
      <c r="AQ14" t="s">
        <v>81</v>
      </c>
      <c r="AR14" t="s">
        <v>81</v>
      </c>
      <c r="AS14" t="s">
        <v>260</v>
      </c>
      <c r="AT14" t="s">
        <v>83</v>
      </c>
      <c r="AU14">
        <v>4</v>
      </c>
      <c r="AV14">
        <v>1</v>
      </c>
      <c r="AW14" t="s">
        <v>232</v>
      </c>
      <c r="AX14" t="s">
        <v>58</v>
      </c>
      <c r="AY14" t="s">
        <v>59</v>
      </c>
      <c r="AZ14">
        <v>119.35898299999999</v>
      </c>
      <c r="BA14" t="s">
        <v>233</v>
      </c>
    </row>
    <row r="15" spans="1:56" x14ac:dyDescent="0.2">
      <c r="B15">
        <v>13</v>
      </c>
      <c r="C15">
        <v>13</v>
      </c>
      <c r="D15">
        <v>0</v>
      </c>
      <c r="G15" t="s">
        <v>138</v>
      </c>
      <c r="H15" t="s">
        <v>72</v>
      </c>
      <c r="I15" t="s">
        <v>120</v>
      </c>
      <c r="J15" t="s">
        <v>56</v>
      </c>
      <c r="K15" t="s">
        <v>261</v>
      </c>
      <c r="L15" t="s">
        <v>157</v>
      </c>
      <c r="M15" t="s">
        <v>80</v>
      </c>
      <c r="N15" t="s">
        <v>81</v>
      </c>
      <c r="O15" t="s">
        <v>81</v>
      </c>
      <c r="P15" t="s">
        <v>262</v>
      </c>
      <c r="Q15" t="s">
        <v>83</v>
      </c>
      <c r="U15">
        <v>0</v>
      </c>
      <c r="V15">
        <v>13</v>
      </c>
      <c r="W15">
        <v>13</v>
      </c>
      <c r="X15">
        <v>19</v>
      </c>
      <c r="Y15">
        <v>90.141316700000004</v>
      </c>
      <c r="AG15">
        <v>90.132027699999995</v>
      </c>
      <c r="AH15">
        <v>90.141316700000004</v>
      </c>
      <c r="AI15">
        <v>90.141316700000004</v>
      </c>
      <c r="AJ15">
        <v>90.141316700000004</v>
      </c>
      <c r="AK15">
        <v>2.1731300000000001E-3</v>
      </c>
      <c r="AL15">
        <v>96.546632799999998</v>
      </c>
      <c r="AM15" t="s">
        <v>56</v>
      </c>
      <c r="AN15" t="s">
        <v>261</v>
      </c>
      <c r="AO15" t="s">
        <v>157</v>
      </c>
      <c r="AP15" t="s">
        <v>80</v>
      </c>
      <c r="AQ15" t="s">
        <v>81</v>
      </c>
      <c r="AR15" t="s">
        <v>81</v>
      </c>
      <c r="AS15" t="s">
        <v>262</v>
      </c>
      <c r="AT15" t="s">
        <v>83</v>
      </c>
      <c r="AU15">
        <v>4</v>
      </c>
      <c r="AV15">
        <v>1</v>
      </c>
      <c r="AW15" t="s">
        <v>232</v>
      </c>
      <c r="AX15" t="s">
        <v>58</v>
      </c>
      <c r="AY15" t="s">
        <v>59</v>
      </c>
      <c r="AZ15">
        <v>119.35898299999999</v>
      </c>
      <c r="BA15" t="s">
        <v>233</v>
      </c>
    </row>
    <row r="16" spans="1:56" x14ac:dyDescent="0.2">
      <c r="B16">
        <v>14</v>
      </c>
      <c r="C16">
        <v>14</v>
      </c>
      <c r="D16">
        <v>0</v>
      </c>
      <c r="G16" t="s">
        <v>91</v>
      </c>
      <c r="H16" t="s">
        <v>64</v>
      </c>
      <c r="I16" t="s">
        <v>77</v>
      </c>
      <c r="J16" t="s">
        <v>64</v>
      </c>
      <c r="K16" t="s">
        <v>178</v>
      </c>
      <c r="L16" t="s">
        <v>145</v>
      </c>
      <c r="M16" t="s">
        <v>80</v>
      </c>
      <c r="N16" t="s">
        <v>81</v>
      </c>
      <c r="O16" t="s">
        <v>81</v>
      </c>
      <c r="P16" t="s">
        <v>263</v>
      </c>
      <c r="Q16" t="s">
        <v>83</v>
      </c>
      <c r="U16">
        <v>0</v>
      </c>
      <c r="V16">
        <v>14</v>
      </c>
      <c r="W16">
        <v>14</v>
      </c>
      <c r="X16">
        <v>5</v>
      </c>
      <c r="Y16">
        <v>96.557689499999995</v>
      </c>
      <c r="AG16">
        <v>96.548574799999997</v>
      </c>
      <c r="AH16">
        <v>96.557689499999995</v>
      </c>
      <c r="AI16">
        <v>96.557689499999995</v>
      </c>
      <c r="AJ16">
        <v>96.557689499999995</v>
      </c>
      <c r="AK16">
        <v>1.8338300000000001E-3</v>
      </c>
      <c r="AL16">
        <v>99.980152599999997</v>
      </c>
      <c r="AM16" t="s">
        <v>64</v>
      </c>
      <c r="AN16" t="s">
        <v>178</v>
      </c>
      <c r="AO16" t="s">
        <v>145</v>
      </c>
      <c r="AP16" t="s">
        <v>80</v>
      </c>
      <c r="AQ16" t="s">
        <v>81</v>
      </c>
      <c r="AR16" t="s">
        <v>81</v>
      </c>
      <c r="AS16" t="s">
        <v>263</v>
      </c>
      <c r="AT16" t="s">
        <v>83</v>
      </c>
      <c r="AU16">
        <v>4</v>
      </c>
      <c r="AV16">
        <v>1</v>
      </c>
      <c r="AW16" t="s">
        <v>232</v>
      </c>
      <c r="AX16" t="s">
        <v>58</v>
      </c>
      <c r="AY16" t="s">
        <v>59</v>
      </c>
      <c r="AZ16">
        <v>119.35898299999999</v>
      </c>
      <c r="BA16" t="s">
        <v>233</v>
      </c>
    </row>
    <row r="17" spans="1:54" x14ac:dyDescent="0.2">
      <c r="B17">
        <v>15</v>
      </c>
      <c r="C17">
        <v>15</v>
      </c>
      <c r="D17">
        <v>0</v>
      </c>
      <c r="G17" t="s">
        <v>130</v>
      </c>
      <c r="H17" t="s">
        <v>68</v>
      </c>
      <c r="I17" t="s">
        <v>77</v>
      </c>
      <c r="J17" t="s">
        <v>68</v>
      </c>
      <c r="K17" t="s">
        <v>264</v>
      </c>
      <c r="L17" t="s">
        <v>100</v>
      </c>
      <c r="M17" t="s">
        <v>80</v>
      </c>
      <c r="N17" t="s">
        <v>81</v>
      </c>
      <c r="O17" t="s">
        <v>81</v>
      </c>
      <c r="P17" t="s">
        <v>265</v>
      </c>
      <c r="Q17" t="s">
        <v>83</v>
      </c>
      <c r="U17">
        <v>0</v>
      </c>
      <c r="V17">
        <v>15</v>
      </c>
      <c r="W17">
        <v>15</v>
      </c>
      <c r="X17">
        <v>10</v>
      </c>
      <c r="Y17">
        <v>99.990907300000003</v>
      </c>
      <c r="AG17">
        <v>99.982279000000005</v>
      </c>
      <c r="AH17">
        <v>99.990907300000003</v>
      </c>
      <c r="AI17">
        <v>99.990907300000003</v>
      </c>
      <c r="AJ17">
        <v>99.990907300000003</v>
      </c>
      <c r="AK17">
        <v>2.0285400000000001E-3</v>
      </c>
      <c r="AL17">
        <v>103.64592500000001</v>
      </c>
      <c r="AM17" t="s">
        <v>68</v>
      </c>
      <c r="AN17" t="s">
        <v>264</v>
      </c>
      <c r="AO17" t="s">
        <v>100</v>
      </c>
      <c r="AP17" t="s">
        <v>80</v>
      </c>
      <c r="AQ17" t="s">
        <v>81</v>
      </c>
      <c r="AR17" t="s">
        <v>81</v>
      </c>
      <c r="AS17" t="s">
        <v>265</v>
      </c>
      <c r="AT17" t="s">
        <v>83</v>
      </c>
      <c r="AU17">
        <v>4</v>
      </c>
      <c r="AV17">
        <v>1</v>
      </c>
      <c r="AW17" t="s">
        <v>232</v>
      </c>
      <c r="AX17" t="s">
        <v>58</v>
      </c>
      <c r="AY17" t="s">
        <v>59</v>
      </c>
      <c r="AZ17">
        <v>119.35898299999999</v>
      </c>
      <c r="BA17" t="s">
        <v>233</v>
      </c>
    </row>
    <row r="18" spans="1:54" x14ac:dyDescent="0.2">
      <c r="B18">
        <v>16</v>
      </c>
      <c r="C18">
        <v>16</v>
      </c>
      <c r="D18">
        <v>0</v>
      </c>
      <c r="G18" t="s">
        <v>84</v>
      </c>
      <c r="H18" t="s">
        <v>67</v>
      </c>
      <c r="I18" t="s">
        <v>77</v>
      </c>
      <c r="J18" t="s">
        <v>67</v>
      </c>
      <c r="K18" t="s">
        <v>266</v>
      </c>
      <c r="L18" t="s">
        <v>177</v>
      </c>
      <c r="M18" t="s">
        <v>80</v>
      </c>
      <c r="N18" t="s">
        <v>81</v>
      </c>
      <c r="O18" t="s">
        <v>81</v>
      </c>
      <c r="P18" t="s">
        <v>267</v>
      </c>
      <c r="Q18" t="s">
        <v>83</v>
      </c>
      <c r="U18">
        <v>0</v>
      </c>
      <c r="V18">
        <v>16</v>
      </c>
      <c r="W18">
        <v>16</v>
      </c>
      <c r="X18">
        <v>2</v>
      </c>
      <c r="Y18">
        <v>103.657274</v>
      </c>
      <c r="AG18">
        <v>103.648066</v>
      </c>
      <c r="AH18">
        <v>103.657274</v>
      </c>
      <c r="AI18">
        <v>103.657274</v>
      </c>
      <c r="AJ18">
        <v>103.657274</v>
      </c>
      <c r="AK18">
        <v>2.0509999999999999E-3</v>
      </c>
      <c r="AL18">
        <v>106.930188</v>
      </c>
      <c r="AM18" t="s">
        <v>67</v>
      </c>
      <c r="AN18" t="s">
        <v>266</v>
      </c>
      <c r="AO18" t="s">
        <v>177</v>
      </c>
      <c r="AP18" t="s">
        <v>80</v>
      </c>
      <c r="AQ18" t="s">
        <v>81</v>
      </c>
      <c r="AR18" t="s">
        <v>81</v>
      </c>
      <c r="AS18" t="s">
        <v>267</v>
      </c>
      <c r="AT18" t="s">
        <v>83</v>
      </c>
      <c r="AU18">
        <v>4</v>
      </c>
      <c r="AV18">
        <v>1</v>
      </c>
      <c r="AW18" t="s">
        <v>232</v>
      </c>
      <c r="AX18" t="s">
        <v>58</v>
      </c>
      <c r="AY18" t="s">
        <v>59</v>
      </c>
      <c r="AZ18">
        <v>119.35898299999999</v>
      </c>
      <c r="BA18" t="s">
        <v>233</v>
      </c>
    </row>
    <row r="19" spans="1:54" x14ac:dyDescent="0.2">
      <c r="B19">
        <v>17</v>
      </c>
      <c r="C19">
        <v>17</v>
      </c>
      <c r="D19">
        <v>0</v>
      </c>
      <c r="G19" t="s">
        <v>134</v>
      </c>
      <c r="H19" t="s">
        <v>56</v>
      </c>
      <c r="I19" t="s">
        <v>77</v>
      </c>
      <c r="K19" t="s">
        <v>268</v>
      </c>
      <c r="L19" t="s">
        <v>269</v>
      </c>
      <c r="M19" t="s">
        <v>219</v>
      </c>
      <c r="N19" t="s">
        <v>220</v>
      </c>
      <c r="O19" t="s">
        <v>220</v>
      </c>
      <c r="P19" t="s">
        <v>270</v>
      </c>
      <c r="Q19" t="s">
        <v>222</v>
      </c>
      <c r="U19">
        <v>0</v>
      </c>
      <c r="V19">
        <v>17</v>
      </c>
      <c r="W19">
        <v>17</v>
      </c>
      <c r="X19">
        <v>4</v>
      </c>
      <c r="Y19">
        <v>106.94114399999999</v>
      </c>
      <c r="AG19">
        <v>106.932536</v>
      </c>
      <c r="AH19">
        <v>106.94114399999999</v>
      </c>
      <c r="AI19">
        <v>106.94114399999999</v>
      </c>
      <c r="AJ19">
        <v>106.94114399999999</v>
      </c>
      <c r="AK19">
        <v>2.24421E-3</v>
      </c>
      <c r="AL19">
        <v>118.929224</v>
      </c>
      <c r="AN19" t="s">
        <v>268</v>
      </c>
      <c r="AO19" t="s">
        <v>269</v>
      </c>
      <c r="AP19" t="s">
        <v>219</v>
      </c>
      <c r="AQ19" t="s">
        <v>220</v>
      </c>
      <c r="AR19" t="s">
        <v>220</v>
      </c>
      <c r="AS19" t="s">
        <v>270</v>
      </c>
      <c r="AT19" t="s">
        <v>222</v>
      </c>
      <c r="AU19">
        <v>116.938321</v>
      </c>
      <c r="AV19">
        <v>4</v>
      </c>
      <c r="AW19">
        <v>1</v>
      </c>
      <c r="AX19" t="s">
        <v>232</v>
      </c>
      <c r="AY19" t="s">
        <v>58</v>
      </c>
      <c r="AZ19" t="s">
        <v>59</v>
      </c>
      <c r="BA19">
        <v>119.35898299999999</v>
      </c>
      <c r="BB19" t="s">
        <v>233</v>
      </c>
    </row>
    <row r="20" spans="1:54" x14ac:dyDescent="0.2">
      <c r="B20">
        <v>18</v>
      </c>
      <c r="C20">
        <v>18</v>
      </c>
      <c r="D20">
        <v>0</v>
      </c>
      <c r="G20" t="s">
        <v>142</v>
      </c>
      <c r="H20" t="s">
        <v>143</v>
      </c>
      <c r="I20" t="s">
        <v>120</v>
      </c>
      <c r="K20" t="s">
        <v>89</v>
      </c>
      <c r="L20" t="s">
        <v>179</v>
      </c>
      <c r="M20" t="s">
        <v>80</v>
      </c>
      <c r="N20" t="s">
        <v>81</v>
      </c>
      <c r="O20" t="s">
        <v>81</v>
      </c>
      <c r="P20" t="s">
        <v>271</v>
      </c>
      <c r="Q20" t="s">
        <v>83</v>
      </c>
      <c r="U20">
        <v>0</v>
      </c>
      <c r="V20">
        <v>18</v>
      </c>
      <c r="W20">
        <v>18</v>
      </c>
      <c r="X20">
        <v>15</v>
      </c>
      <c r="Y20">
        <v>118.93823399999999</v>
      </c>
      <c r="AG20">
        <v>118.93086599999999</v>
      </c>
      <c r="AH20">
        <v>118.93823399999999</v>
      </c>
      <c r="AI20">
        <v>118.93823399999999</v>
      </c>
      <c r="AJ20">
        <v>118.93823399999999</v>
      </c>
      <c r="AK20">
        <v>1.5387899999999999E-3</v>
      </c>
      <c r="AL20">
        <v>129.31291100000001</v>
      </c>
      <c r="AN20" t="s">
        <v>89</v>
      </c>
      <c r="AO20" t="s">
        <v>179</v>
      </c>
      <c r="AP20" t="s">
        <v>80</v>
      </c>
      <c r="AQ20" t="s">
        <v>81</v>
      </c>
      <c r="AR20" t="s">
        <v>81</v>
      </c>
      <c r="AS20" t="s">
        <v>271</v>
      </c>
      <c r="AT20" t="s">
        <v>83</v>
      </c>
      <c r="AU20">
        <v>128.92822899999999</v>
      </c>
      <c r="AV20">
        <v>4</v>
      </c>
      <c r="AW20">
        <v>1</v>
      </c>
      <c r="AX20" t="s">
        <v>232</v>
      </c>
      <c r="AY20" t="s">
        <v>58</v>
      </c>
      <c r="AZ20" t="s">
        <v>59</v>
      </c>
      <c r="BA20">
        <v>119.35898299999999</v>
      </c>
      <c r="BB20" t="s">
        <v>233</v>
      </c>
    </row>
    <row r="21" spans="1:54" x14ac:dyDescent="0.2">
      <c r="B21">
        <v>19</v>
      </c>
      <c r="C21">
        <v>19</v>
      </c>
      <c r="D21">
        <v>0</v>
      </c>
      <c r="G21" t="s">
        <v>88</v>
      </c>
      <c r="H21" t="s">
        <v>69</v>
      </c>
      <c r="I21" t="s">
        <v>77</v>
      </c>
      <c r="J21" t="s">
        <v>69</v>
      </c>
      <c r="K21" t="s">
        <v>272</v>
      </c>
      <c r="L21" t="s">
        <v>140</v>
      </c>
      <c r="M21" t="s">
        <v>80</v>
      </c>
      <c r="N21" t="s">
        <v>81</v>
      </c>
      <c r="O21" t="s">
        <v>81</v>
      </c>
      <c r="P21" t="s">
        <v>273</v>
      </c>
      <c r="Q21" t="s">
        <v>83</v>
      </c>
      <c r="U21">
        <v>0</v>
      </c>
      <c r="V21">
        <v>19</v>
      </c>
      <c r="W21">
        <v>19</v>
      </c>
      <c r="X21">
        <v>13</v>
      </c>
      <c r="Y21">
        <v>129.33821499999999</v>
      </c>
      <c r="AG21">
        <v>129.314705</v>
      </c>
      <c r="AH21">
        <v>129.33821499999999</v>
      </c>
      <c r="AI21">
        <v>129.33821499999999</v>
      </c>
      <c r="AJ21">
        <v>129.33821499999999</v>
      </c>
      <c r="AK21">
        <v>1.6985399999999999E-3</v>
      </c>
      <c r="AL21">
        <v>134.99721700000001</v>
      </c>
      <c r="AM21" t="s">
        <v>69</v>
      </c>
      <c r="AN21" t="s">
        <v>272</v>
      </c>
      <c r="AO21" t="s">
        <v>140</v>
      </c>
      <c r="AP21" t="s">
        <v>80</v>
      </c>
      <c r="AQ21" t="s">
        <v>81</v>
      </c>
      <c r="AR21" t="s">
        <v>81</v>
      </c>
      <c r="AS21" t="s">
        <v>273</v>
      </c>
      <c r="AT21" t="s">
        <v>83</v>
      </c>
      <c r="AU21">
        <v>4</v>
      </c>
      <c r="AV21">
        <v>1</v>
      </c>
      <c r="AW21" t="s">
        <v>232</v>
      </c>
      <c r="AX21" t="s">
        <v>58</v>
      </c>
      <c r="AY21" t="s">
        <v>59</v>
      </c>
      <c r="AZ21">
        <v>119.35898299999999</v>
      </c>
      <c r="BA21" t="s">
        <v>233</v>
      </c>
    </row>
    <row r="25" spans="1:54" ht="19" x14ac:dyDescent="0.25">
      <c r="A25" s="9" t="s">
        <v>274</v>
      </c>
      <c r="B25" s="9"/>
      <c r="C25" s="9"/>
      <c r="D25" s="9"/>
    </row>
    <row r="27" spans="1:54" x14ac:dyDescent="0.2">
      <c r="A27" t="s">
        <v>6</v>
      </c>
      <c r="B27" t="s">
        <v>7</v>
      </c>
      <c r="C27" t="s">
        <v>8</v>
      </c>
      <c r="D27" t="s">
        <v>9</v>
      </c>
      <c r="F27" s="2"/>
      <c r="G27" s="8" t="s">
        <v>163</v>
      </c>
      <c r="H27" s="8"/>
      <c r="I27" s="5"/>
    </row>
    <row r="28" spans="1:54" x14ac:dyDescent="0.2">
      <c r="A28" t="s">
        <v>154</v>
      </c>
      <c r="B28" t="s">
        <v>155</v>
      </c>
      <c r="C28" t="s">
        <v>120</v>
      </c>
      <c r="D28" t="s">
        <v>155</v>
      </c>
      <c r="F28" s="2"/>
      <c r="G28" s="8" t="s">
        <v>164</v>
      </c>
      <c r="H28" s="8"/>
      <c r="I28" s="6"/>
    </row>
    <row r="29" spans="1:54" x14ac:dyDescent="0.2">
      <c r="A29" t="s">
        <v>94</v>
      </c>
      <c r="B29" t="s">
        <v>62</v>
      </c>
      <c r="C29" t="s">
        <v>77</v>
      </c>
      <c r="D29" t="s">
        <v>62</v>
      </c>
      <c r="F29" s="2"/>
      <c r="G29" s="2"/>
      <c r="H29" s="2"/>
      <c r="I29" s="2"/>
    </row>
    <row r="30" spans="1:54" x14ac:dyDescent="0.2">
      <c r="A30" t="s">
        <v>76</v>
      </c>
      <c r="B30" t="s">
        <v>65</v>
      </c>
      <c r="C30" t="s">
        <v>77</v>
      </c>
      <c r="D30" t="s">
        <v>65</v>
      </c>
      <c r="F30" s="8" t="s">
        <v>165</v>
      </c>
      <c r="G30" s="8"/>
      <c r="H30" s="8"/>
      <c r="I30" s="2">
        <v>14</v>
      </c>
    </row>
    <row r="31" spans="1:54" x14ac:dyDescent="0.2">
      <c r="A31" t="s">
        <v>102</v>
      </c>
      <c r="B31" t="s">
        <v>71</v>
      </c>
      <c r="C31" t="s">
        <v>77</v>
      </c>
      <c r="D31" t="s">
        <v>71</v>
      </c>
      <c r="F31" s="8" t="s">
        <v>166</v>
      </c>
      <c r="G31" s="8"/>
      <c r="H31" s="8"/>
      <c r="I31" s="2">
        <v>6</v>
      </c>
    </row>
    <row r="32" spans="1:54" x14ac:dyDescent="0.2">
      <c r="A32" t="s">
        <v>109</v>
      </c>
      <c r="B32" t="s">
        <v>75</v>
      </c>
      <c r="C32" t="s">
        <v>77</v>
      </c>
      <c r="D32" t="s">
        <v>75</v>
      </c>
      <c r="F32" s="8" t="s">
        <v>167</v>
      </c>
      <c r="G32" s="8"/>
      <c r="H32" s="8"/>
      <c r="I32" s="2">
        <v>20</v>
      </c>
    </row>
    <row r="33" spans="1:9" x14ac:dyDescent="0.2">
      <c r="A33" s="4" t="s">
        <v>124</v>
      </c>
      <c r="B33" s="4" t="s">
        <v>125</v>
      </c>
      <c r="C33" s="4" t="s">
        <v>120</v>
      </c>
      <c r="D33" s="4"/>
    </row>
    <row r="34" spans="1:9" x14ac:dyDescent="0.2">
      <c r="A34" t="s">
        <v>159</v>
      </c>
      <c r="B34" t="s">
        <v>73</v>
      </c>
      <c r="C34" t="s">
        <v>77</v>
      </c>
      <c r="D34" t="s">
        <v>73</v>
      </c>
    </row>
    <row r="35" spans="1:9" x14ac:dyDescent="0.2">
      <c r="A35" t="s">
        <v>98</v>
      </c>
      <c r="B35" t="s">
        <v>66</v>
      </c>
      <c r="C35" t="s">
        <v>77</v>
      </c>
      <c r="D35" t="s">
        <v>66</v>
      </c>
    </row>
    <row r="36" spans="1:9" x14ac:dyDescent="0.2">
      <c r="A36" s="4" t="s">
        <v>118</v>
      </c>
      <c r="B36" s="4" t="s">
        <v>119</v>
      </c>
      <c r="C36" s="4" t="s">
        <v>120</v>
      </c>
      <c r="D36" s="4" t="s">
        <v>250</v>
      </c>
    </row>
    <row r="37" spans="1:9" x14ac:dyDescent="0.2">
      <c r="A37" t="s">
        <v>106</v>
      </c>
      <c r="B37" t="s">
        <v>74</v>
      </c>
      <c r="C37" t="s">
        <v>77</v>
      </c>
      <c r="D37" t="s">
        <v>74</v>
      </c>
    </row>
    <row r="38" spans="1:9" x14ac:dyDescent="0.2">
      <c r="A38" t="s">
        <v>147</v>
      </c>
      <c r="B38" t="s">
        <v>63</v>
      </c>
      <c r="C38" t="s">
        <v>77</v>
      </c>
      <c r="D38" t="s">
        <v>63</v>
      </c>
    </row>
    <row r="39" spans="1:9" x14ac:dyDescent="0.2">
      <c r="A39" s="4" t="s">
        <v>150</v>
      </c>
      <c r="B39" s="4" t="s">
        <v>151</v>
      </c>
      <c r="C39" s="4" t="s">
        <v>120</v>
      </c>
      <c r="D39" s="4" t="s">
        <v>255</v>
      </c>
    </row>
    <row r="40" spans="1:9" x14ac:dyDescent="0.2">
      <c r="A40" s="3" t="s">
        <v>113</v>
      </c>
      <c r="B40" s="3" t="s">
        <v>70</v>
      </c>
      <c r="C40" s="3" t="s">
        <v>77</v>
      </c>
      <c r="D40" s="3" t="s">
        <v>176</v>
      </c>
    </row>
    <row r="41" spans="1:9" x14ac:dyDescent="0.2">
      <c r="A41" s="4" t="s">
        <v>138</v>
      </c>
      <c r="B41" s="4" t="s">
        <v>72</v>
      </c>
      <c r="C41" s="4" t="s">
        <v>120</v>
      </c>
      <c r="D41" s="4" t="s">
        <v>56</v>
      </c>
      <c r="F41" s="8" t="s">
        <v>168</v>
      </c>
      <c r="G41" s="8"/>
      <c r="H41" s="8"/>
      <c r="I41" s="7">
        <f>12/14</f>
        <v>0.8571428571428571</v>
      </c>
    </row>
    <row r="42" spans="1:9" x14ac:dyDescent="0.2">
      <c r="A42" t="s">
        <v>91</v>
      </c>
      <c r="B42" t="s">
        <v>64</v>
      </c>
      <c r="C42" t="s">
        <v>77</v>
      </c>
      <c r="D42" t="s">
        <v>64</v>
      </c>
      <c r="F42" s="8" t="s">
        <v>161</v>
      </c>
      <c r="G42" s="8"/>
      <c r="H42" s="8"/>
      <c r="I42" s="7">
        <f>1/6</f>
        <v>0.16666666666666666</v>
      </c>
    </row>
    <row r="43" spans="1:9" x14ac:dyDescent="0.2">
      <c r="A43" t="s">
        <v>130</v>
      </c>
      <c r="B43" t="s">
        <v>68</v>
      </c>
      <c r="C43" t="s">
        <v>77</v>
      </c>
      <c r="D43" t="s">
        <v>68</v>
      </c>
      <c r="F43" s="2"/>
      <c r="G43" s="2"/>
      <c r="H43" s="2"/>
      <c r="I43" s="1"/>
    </row>
    <row r="44" spans="1:9" x14ac:dyDescent="0.2">
      <c r="A44" t="s">
        <v>84</v>
      </c>
      <c r="B44" t="s">
        <v>67</v>
      </c>
      <c r="C44" t="s">
        <v>77</v>
      </c>
      <c r="D44" t="s">
        <v>67</v>
      </c>
      <c r="F44" s="8" t="s">
        <v>162</v>
      </c>
      <c r="G44" s="8"/>
      <c r="H44" s="8"/>
      <c r="I44" s="7">
        <f>I41-I42</f>
        <v>0.69047619047619047</v>
      </c>
    </row>
    <row r="45" spans="1:9" x14ac:dyDescent="0.2">
      <c r="A45" s="3" t="s">
        <v>134</v>
      </c>
      <c r="B45" s="3" t="s">
        <v>56</v>
      </c>
      <c r="C45" s="3" t="s">
        <v>77</v>
      </c>
      <c r="D45" s="3"/>
    </row>
    <row r="46" spans="1:9" x14ac:dyDescent="0.2">
      <c r="A46" s="4" t="s">
        <v>142</v>
      </c>
      <c r="B46" s="4" t="s">
        <v>143</v>
      </c>
      <c r="C46" s="4" t="s">
        <v>120</v>
      </c>
      <c r="D46" s="4"/>
    </row>
    <row r="47" spans="1:9" x14ac:dyDescent="0.2">
      <c r="A47" t="s">
        <v>88</v>
      </c>
      <c r="B47" t="s">
        <v>69</v>
      </c>
      <c r="C47" t="s">
        <v>77</v>
      </c>
      <c r="D47" t="s">
        <v>69</v>
      </c>
    </row>
  </sheetData>
  <mergeCells count="9">
    <mergeCell ref="F41:H41"/>
    <mergeCell ref="F42:H42"/>
    <mergeCell ref="F44:H44"/>
    <mergeCell ref="A25:D25"/>
    <mergeCell ref="G27:H27"/>
    <mergeCell ref="G28:H28"/>
    <mergeCell ref="F30:H30"/>
    <mergeCell ref="F31:H31"/>
    <mergeCell ref="F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2025-10-13T22:57:57Z</dcterms:created>
  <dcterms:modified xsi:type="dcterms:W3CDTF">2025-10-14T22:28:42Z</dcterms:modified>
</cp:coreProperties>
</file>