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signal detection/"/>
    </mc:Choice>
  </mc:AlternateContent>
  <xr:revisionPtr revIDLastSave="0" documentId="13_ncr:1_{B37C60C7-7B7C-4D48-AD3D-AEF0689D2E7B}" xr6:coauthVersionLast="47" xr6:coauthVersionMax="47" xr10:uidLastSave="{00000000-0000-0000-0000-000000000000}"/>
  <bookViews>
    <workbookView xWindow="0" yWindow="0" windowWidth="28800" windowHeight="18000" activeTab="1" xr2:uid="{7740ABD7-6BE8-5345-80D0-F2371248D0FD}"/>
  </bookViews>
  <sheets>
    <sheet name="Sheet1" sheetId="1" r:id="rId1"/>
    <sheet name="calcu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" l="1"/>
  <c r="K17" i="2"/>
  <c r="K15" i="2"/>
  <c r="K14" i="2"/>
  <c r="I103" i="2"/>
  <c r="F103" i="2"/>
  <c r="G103" i="2"/>
  <c r="H103" i="2"/>
  <c r="E103" i="2"/>
</calcChain>
</file>

<file path=xl/sharedStrings.xml><?xml version="1.0" encoding="utf-8"?>
<sst xmlns="http://schemas.openxmlformats.org/spreadsheetml/2006/main" count="1052" uniqueCount="52">
  <si>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</si>
  <si>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</si>
  <si>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</si>
  <si>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</si>
  <si>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</si>
  <si>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</si>
  <si>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</si>
  <si>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</si>
  <si>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</si>
  <si>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</si>
  <si>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</si>
  <si>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</si>
  <si>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</si>
  <si>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</si>
  <si>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</si>
  <si>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</si>
  <si>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</si>
  <si>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</si>
  <si>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</si>
  <si>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</si>
  <si>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</si>
  <si>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</si>
  <si>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</si>
  <si>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</si>
  <si>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</si>
  <si>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</si>
  <si>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</si>
  <si>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</si>
  <si>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</si>
  <si>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</si>
  <si>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</si>
  <si>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</si>
  <si>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</si>
  <si>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</si>
  <si>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2025-09-07_01h14.06.694</t>
  </si>
  <si>
    <t>signal detection</t>
  </si>
  <si>
    <t>2025.1.1</t>
  </si>
  <si>
    <t>2025-09-07 01h14.16.594885 +0530</t>
  </si>
  <si>
    <t>down</t>
  </si>
  <si>
    <t>sum total</t>
  </si>
  <si>
    <t>Response YES</t>
  </si>
  <si>
    <t>Response NO</t>
  </si>
  <si>
    <t>Signal PRESENT</t>
  </si>
  <si>
    <t>Signal ABSENT</t>
  </si>
  <si>
    <t>Hit</t>
  </si>
  <si>
    <t>Miss</t>
  </si>
  <si>
    <t>False_Alarm</t>
  </si>
  <si>
    <t>Corr_Reject</t>
  </si>
  <si>
    <t>prop hit</t>
  </si>
  <si>
    <t>prop false_alarm</t>
  </si>
  <si>
    <t>d-prime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</si>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</sst>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72D9-08EB-4C4C-846E-1B2369C5D59B}">
  <dimension ref="A1:AF101"/>
  <sheetViews>
    <sheetView workbookViewId="0">
      <selection activeCell="H1" sqref="H1:H1048576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0</v>
      </c>
      <c r="B2">
        <v>0</v>
      </c>
      <c r="C2">
        <v>0</v>
      </c>
      <c r="D2" t="s">
        <v>32</v>
      </c>
      <c r="E2">
        <v>0</v>
      </c>
      <c r="F2">
        <v>0.99269954099872804</v>
      </c>
      <c r="G2" t="s">
        <v>33</v>
      </c>
      <c r="H2">
        <v>-3</v>
      </c>
      <c r="I2">
        <v>0</v>
      </c>
      <c r="J2">
        <v>0</v>
      </c>
      <c r="K2">
        <v>0</v>
      </c>
      <c r="L2">
        <v>0</v>
      </c>
      <c r="M2">
        <v>1.173575E-2</v>
      </c>
      <c r="O2">
        <v>6.3561199999999998E-3</v>
      </c>
      <c r="P2">
        <v>1.173575E-2</v>
      </c>
      <c r="Q2">
        <v>1.0108167910002499</v>
      </c>
      <c r="R2">
        <v>1.0226986659981701</v>
      </c>
      <c r="S2">
        <v>2.3902130409987801</v>
      </c>
      <c r="T2" t="s">
        <v>32</v>
      </c>
      <c r="U2">
        <v>0</v>
      </c>
      <c r="V2">
        <v>0.99269954099872804</v>
      </c>
      <c r="W2" t="s">
        <v>33</v>
      </c>
      <c r="X2">
        <v>-3</v>
      </c>
      <c r="Y2">
        <v>1</v>
      </c>
      <c r="Z2">
        <v>1</v>
      </c>
      <c r="AA2" t="s">
        <v>34</v>
      </c>
      <c r="AB2" t="s">
        <v>35</v>
      </c>
      <c r="AC2" t="s">
        <v>36</v>
      </c>
      <c r="AD2" t="s">
        <v>33</v>
      </c>
      <c r="AE2" t="s">
        <v>37</v>
      </c>
    </row>
    <row r="3" spans="1:32" x14ac:dyDescent="0.2">
      <c r="A3">
        <v>1</v>
      </c>
      <c r="B3">
        <v>0</v>
      </c>
      <c r="C3">
        <v>1</v>
      </c>
      <c r="D3" t="s">
        <v>32</v>
      </c>
      <c r="E3">
        <v>0</v>
      </c>
      <c r="F3">
        <v>0.72440820699921404</v>
      </c>
      <c r="G3" t="s">
        <v>33</v>
      </c>
      <c r="H3">
        <v>1</v>
      </c>
      <c r="I3">
        <v>1</v>
      </c>
      <c r="J3">
        <v>0</v>
      </c>
      <c r="K3">
        <v>1</v>
      </c>
      <c r="L3">
        <v>0</v>
      </c>
      <c r="M3">
        <v>2.4301285410001499</v>
      </c>
      <c r="N3">
        <v>2.3904084579989999</v>
      </c>
      <c r="O3">
        <v>2.4301285410001499</v>
      </c>
      <c r="P3">
        <v>3.3809894160003702</v>
      </c>
      <c r="Q3">
        <v>3.42322229099954</v>
      </c>
      <c r="R3">
        <v>4.1087609579990296</v>
      </c>
      <c r="S3" t="s">
        <v>32</v>
      </c>
      <c r="T3">
        <v>0</v>
      </c>
      <c r="U3">
        <v>0.72440820699921404</v>
      </c>
      <c r="V3" t="s">
        <v>33</v>
      </c>
      <c r="W3">
        <v>1</v>
      </c>
      <c r="X3">
        <v>1</v>
      </c>
      <c r="Y3">
        <v>1</v>
      </c>
      <c r="Z3" t="s">
        <v>34</v>
      </c>
      <c r="AA3" t="s">
        <v>35</v>
      </c>
      <c r="AB3" t="s">
        <v>36</v>
      </c>
      <c r="AC3" t="s">
        <v>33</v>
      </c>
      <c r="AD3" t="s">
        <v>37</v>
      </c>
    </row>
    <row r="4" spans="1:32" x14ac:dyDescent="0.2">
      <c r="A4">
        <v>2</v>
      </c>
      <c r="B4">
        <v>0</v>
      </c>
      <c r="C4">
        <v>2</v>
      </c>
      <c r="D4" t="s">
        <v>32</v>
      </c>
      <c r="E4">
        <v>1</v>
      </c>
      <c r="F4">
        <v>0.54502491600214797</v>
      </c>
      <c r="G4" t="s">
        <v>33</v>
      </c>
      <c r="H4">
        <v>0</v>
      </c>
      <c r="I4">
        <v>2</v>
      </c>
      <c r="J4">
        <v>0</v>
      </c>
      <c r="K4">
        <v>2</v>
      </c>
      <c r="L4">
        <v>0</v>
      </c>
      <c r="M4">
        <v>4.1320660800000004</v>
      </c>
      <c r="O4">
        <v>4.10955958299746</v>
      </c>
      <c r="P4">
        <v>4.1320660800000004</v>
      </c>
      <c r="Q4">
        <v>5.1064012500000002</v>
      </c>
      <c r="R4">
        <v>5.1297899999990397</v>
      </c>
      <c r="S4">
        <v>5.6587463329997201</v>
      </c>
      <c r="T4" t="s">
        <v>32</v>
      </c>
      <c r="U4">
        <v>1</v>
      </c>
      <c r="V4">
        <v>0.54502491600214797</v>
      </c>
      <c r="W4" t="s">
        <v>33</v>
      </c>
      <c r="X4">
        <v>0</v>
      </c>
      <c r="Y4">
        <v>1</v>
      </c>
      <c r="Z4">
        <v>1</v>
      </c>
      <c r="AA4" t="s">
        <v>34</v>
      </c>
      <c r="AB4" t="s">
        <v>35</v>
      </c>
      <c r="AC4" t="s">
        <v>36</v>
      </c>
      <c r="AD4" t="s">
        <v>33</v>
      </c>
      <c r="AE4" t="s">
        <v>37</v>
      </c>
    </row>
    <row r="5" spans="1:32" x14ac:dyDescent="0.2">
      <c r="A5">
        <v>3</v>
      </c>
      <c r="B5">
        <v>0</v>
      </c>
      <c r="C5">
        <v>3</v>
      </c>
      <c r="D5" t="s">
        <v>32</v>
      </c>
      <c r="E5">
        <v>1</v>
      </c>
      <c r="F5">
        <v>0.481229541001084</v>
      </c>
      <c r="G5" t="s">
        <v>33</v>
      </c>
      <c r="H5">
        <v>0</v>
      </c>
      <c r="I5">
        <v>3</v>
      </c>
      <c r="J5">
        <v>0</v>
      </c>
      <c r="K5">
        <v>3</v>
      </c>
      <c r="L5">
        <v>0</v>
      </c>
      <c r="M5">
        <v>5.6677614999971402</v>
      </c>
      <c r="N5">
        <v>5.65930970800036</v>
      </c>
      <c r="O5">
        <v>5.6677614999971402</v>
      </c>
      <c r="P5">
        <v>6.6562670829989603</v>
      </c>
      <c r="Q5">
        <v>6.6621959999974898</v>
      </c>
      <c r="R5">
        <v>7.14204404</v>
      </c>
      <c r="S5" t="s">
        <v>32</v>
      </c>
      <c r="T5">
        <v>1</v>
      </c>
      <c r="U5">
        <v>0.481229541001084</v>
      </c>
      <c r="V5" t="s">
        <v>33</v>
      </c>
      <c r="W5">
        <v>0</v>
      </c>
      <c r="X5">
        <v>1</v>
      </c>
      <c r="Y5">
        <v>1</v>
      </c>
      <c r="Z5" t="s">
        <v>34</v>
      </c>
      <c r="AA5" t="s">
        <v>35</v>
      </c>
      <c r="AB5" t="s">
        <v>36</v>
      </c>
      <c r="AC5" t="s">
        <v>33</v>
      </c>
      <c r="AD5" t="s">
        <v>37</v>
      </c>
    </row>
    <row r="6" spans="1:32" x14ac:dyDescent="0.2">
      <c r="A6">
        <v>4</v>
      </c>
      <c r="B6">
        <v>0</v>
      </c>
      <c r="C6">
        <v>4</v>
      </c>
      <c r="D6" t="s">
        <v>32</v>
      </c>
      <c r="E6">
        <v>0</v>
      </c>
      <c r="F6">
        <v>1.4354181659982701</v>
      </c>
      <c r="G6" t="s">
        <v>33</v>
      </c>
      <c r="H6">
        <v>-3</v>
      </c>
      <c r="I6">
        <v>4</v>
      </c>
      <c r="J6">
        <v>0</v>
      </c>
      <c r="K6">
        <v>4</v>
      </c>
      <c r="L6">
        <v>0</v>
      </c>
      <c r="M6">
        <v>7.1510007500000903</v>
      </c>
      <c r="N6">
        <v>7.1426342909981004</v>
      </c>
      <c r="O6">
        <v>7.1510007500000903</v>
      </c>
      <c r="P6">
        <v>8.14000933299757</v>
      </c>
      <c r="Q6">
        <v>8.1459748329980304</v>
      </c>
      <c r="R6">
        <v>9.5816562500003695</v>
      </c>
      <c r="S6" t="s">
        <v>32</v>
      </c>
      <c r="T6">
        <v>0</v>
      </c>
      <c r="U6">
        <v>1.4354181659982701</v>
      </c>
      <c r="V6" t="s">
        <v>33</v>
      </c>
      <c r="W6">
        <v>-3</v>
      </c>
      <c r="X6">
        <v>1</v>
      </c>
      <c r="Y6">
        <v>1</v>
      </c>
      <c r="Z6" t="s">
        <v>34</v>
      </c>
      <c r="AA6" t="s">
        <v>35</v>
      </c>
      <c r="AB6" t="s">
        <v>36</v>
      </c>
      <c r="AC6" t="s">
        <v>33</v>
      </c>
      <c r="AD6" t="s">
        <v>37</v>
      </c>
    </row>
    <row r="7" spans="1:32" x14ac:dyDescent="0.2">
      <c r="A7">
        <v>5</v>
      </c>
      <c r="B7">
        <v>0</v>
      </c>
      <c r="C7">
        <v>5</v>
      </c>
      <c r="D7" t="s">
        <v>38</v>
      </c>
      <c r="E7">
        <v>1</v>
      </c>
      <c r="F7">
        <v>0.93942199900266099</v>
      </c>
      <c r="G7" t="s">
        <v>33</v>
      </c>
      <c r="H7">
        <v>4</v>
      </c>
      <c r="I7">
        <v>5</v>
      </c>
      <c r="J7">
        <v>0</v>
      </c>
      <c r="K7">
        <v>5</v>
      </c>
      <c r="L7">
        <v>0</v>
      </c>
      <c r="M7">
        <v>9.5904231699999993</v>
      </c>
      <c r="O7">
        <v>9.582255</v>
      </c>
      <c r="P7">
        <v>9.5904231699999993</v>
      </c>
      <c r="Q7">
        <v>10.580160499997801</v>
      </c>
      <c r="R7">
        <v>10.580160499997801</v>
      </c>
      <c r="S7">
        <v>11.5254767079968</v>
      </c>
      <c r="T7" t="s">
        <v>38</v>
      </c>
      <c r="U7">
        <v>1</v>
      </c>
      <c r="V7">
        <v>0.93942199900266099</v>
      </c>
      <c r="W7" t="s">
        <v>33</v>
      </c>
      <c r="X7">
        <v>4</v>
      </c>
      <c r="Y7">
        <v>1</v>
      </c>
      <c r="Z7">
        <v>1</v>
      </c>
      <c r="AA7" t="s">
        <v>34</v>
      </c>
      <c r="AB7" t="s">
        <v>35</v>
      </c>
      <c r="AC7" t="s">
        <v>36</v>
      </c>
      <c r="AD7" t="s">
        <v>33</v>
      </c>
      <c r="AE7" t="s">
        <v>37</v>
      </c>
    </row>
    <row r="8" spans="1:32" x14ac:dyDescent="0.2">
      <c r="A8">
        <v>6</v>
      </c>
      <c r="B8">
        <v>0</v>
      </c>
      <c r="C8">
        <v>6</v>
      </c>
      <c r="D8" t="s">
        <v>32</v>
      </c>
      <c r="E8">
        <v>1</v>
      </c>
      <c r="F8">
        <v>0.56282312500115905</v>
      </c>
      <c r="G8" t="s">
        <v>33</v>
      </c>
      <c r="H8">
        <v>0</v>
      </c>
      <c r="I8">
        <v>6</v>
      </c>
      <c r="J8">
        <v>0</v>
      </c>
      <c r="K8">
        <v>6</v>
      </c>
      <c r="L8">
        <v>0</v>
      </c>
      <c r="M8">
        <v>11.5351839579998</v>
      </c>
      <c r="N8">
        <v>11.526083874999999</v>
      </c>
      <c r="O8">
        <v>11.5351839579998</v>
      </c>
      <c r="P8">
        <v>12.523753499997801</v>
      </c>
      <c r="Q8">
        <v>12.5302320829978</v>
      </c>
      <c r="R8">
        <v>13.092227249999199</v>
      </c>
      <c r="S8" t="s">
        <v>32</v>
      </c>
      <c r="T8">
        <v>1</v>
      </c>
      <c r="U8">
        <v>0.56282312500115905</v>
      </c>
      <c r="V8" t="s">
        <v>33</v>
      </c>
      <c r="W8">
        <v>0</v>
      </c>
      <c r="X8">
        <v>1</v>
      </c>
      <c r="Y8">
        <v>1</v>
      </c>
      <c r="Z8" t="s">
        <v>34</v>
      </c>
      <c r="AA8" t="s">
        <v>35</v>
      </c>
      <c r="AB8" t="s">
        <v>36</v>
      </c>
      <c r="AC8" t="s">
        <v>33</v>
      </c>
      <c r="AD8" t="s">
        <v>37</v>
      </c>
    </row>
    <row r="9" spans="1:32" x14ac:dyDescent="0.2">
      <c r="A9">
        <v>7</v>
      </c>
      <c r="B9">
        <v>0</v>
      </c>
      <c r="C9">
        <v>7</v>
      </c>
      <c r="D9" t="s">
        <v>32</v>
      </c>
      <c r="E9">
        <v>1</v>
      </c>
      <c r="F9">
        <v>0.98629591600183597</v>
      </c>
      <c r="G9" t="s">
        <v>33</v>
      </c>
      <c r="H9">
        <v>0</v>
      </c>
      <c r="I9">
        <v>7</v>
      </c>
      <c r="J9">
        <v>0</v>
      </c>
      <c r="K9">
        <v>7</v>
      </c>
      <c r="L9">
        <v>0</v>
      </c>
      <c r="M9">
        <v>13.1013995829998</v>
      </c>
      <c r="N9">
        <v>13.0928344579988</v>
      </c>
      <c r="O9">
        <v>13.1013995829998</v>
      </c>
      <c r="P9">
        <v>14.090251040997799</v>
      </c>
      <c r="Q9">
        <v>14.0970570829995</v>
      </c>
      <c r="R9">
        <v>15.0812940409996</v>
      </c>
      <c r="S9" t="s">
        <v>32</v>
      </c>
      <c r="T9">
        <v>1</v>
      </c>
      <c r="U9">
        <v>0.98629591600183597</v>
      </c>
      <c r="V9" t="s">
        <v>33</v>
      </c>
      <c r="W9">
        <v>0</v>
      </c>
      <c r="X9">
        <v>1</v>
      </c>
      <c r="Y9">
        <v>1</v>
      </c>
      <c r="Z9" t="s">
        <v>34</v>
      </c>
      <c r="AA9" t="s">
        <v>35</v>
      </c>
      <c r="AB9" t="s">
        <v>36</v>
      </c>
      <c r="AC9" t="s">
        <v>33</v>
      </c>
      <c r="AD9" t="s">
        <v>37</v>
      </c>
    </row>
    <row r="10" spans="1:32" x14ac:dyDescent="0.2">
      <c r="A10">
        <v>8</v>
      </c>
      <c r="B10">
        <v>0</v>
      </c>
      <c r="C10">
        <v>8</v>
      </c>
      <c r="D10" t="s">
        <v>32</v>
      </c>
      <c r="E10">
        <v>0</v>
      </c>
      <c r="F10">
        <v>1.1084082490015099</v>
      </c>
      <c r="G10" t="s">
        <v>33</v>
      </c>
      <c r="H10">
        <v>-3</v>
      </c>
      <c r="I10">
        <v>8</v>
      </c>
      <c r="J10">
        <v>0</v>
      </c>
      <c r="K10">
        <v>8</v>
      </c>
      <c r="L10">
        <v>0</v>
      </c>
      <c r="M10">
        <v>15.089673665999699</v>
      </c>
      <c r="N10">
        <v>15.081854290998301</v>
      </c>
      <c r="O10">
        <v>15.089673665999699</v>
      </c>
      <c r="P10">
        <v>16.080257540997899</v>
      </c>
      <c r="Q10">
        <v>16.080257540997899</v>
      </c>
      <c r="R10">
        <v>17.1924466659984</v>
      </c>
      <c r="S10" t="s">
        <v>32</v>
      </c>
      <c r="T10">
        <v>0</v>
      </c>
      <c r="U10">
        <v>1.1084082490015099</v>
      </c>
      <c r="V10" t="s">
        <v>33</v>
      </c>
      <c r="W10">
        <v>-3</v>
      </c>
      <c r="X10">
        <v>1</v>
      </c>
      <c r="Y10">
        <v>1</v>
      </c>
      <c r="Z10" t="s">
        <v>34</v>
      </c>
      <c r="AA10" t="s">
        <v>35</v>
      </c>
      <c r="AB10" t="s">
        <v>36</v>
      </c>
      <c r="AC10" t="s">
        <v>33</v>
      </c>
      <c r="AD10" t="s">
        <v>37</v>
      </c>
    </row>
    <row r="11" spans="1:32" x14ac:dyDescent="0.2">
      <c r="A11">
        <v>9</v>
      </c>
      <c r="B11">
        <v>0</v>
      </c>
      <c r="C11">
        <v>9</v>
      </c>
      <c r="D11" t="s">
        <v>38</v>
      </c>
      <c r="E11">
        <v>0</v>
      </c>
      <c r="F11">
        <v>0.61348916599672498</v>
      </c>
      <c r="G11" t="s">
        <v>33</v>
      </c>
      <c r="H11">
        <v>0</v>
      </c>
      <c r="I11">
        <v>9</v>
      </c>
      <c r="J11">
        <v>0</v>
      </c>
      <c r="K11">
        <v>9</v>
      </c>
      <c r="L11">
        <v>0</v>
      </c>
      <c r="M11">
        <v>17.2014726249981</v>
      </c>
      <c r="N11">
        <v>17.193051040998299</v>
      </c>
      <c r="O11">
        <v>17.2014726249981</v>
      </c>
      <c r="P11">
        <v>18.190295041000301</v>
      </c>
      <c r="Q11">
        <v>18.196191790997499</v>
      </c>
      <c r="R11">
        <v>18.808915415996999</v>
      </c>
      <c r="S11" t="s">
        <v>38</v>
      </c>
      <c r="T11">
        <v>0</v>
      </c>
      <c r="U11">
        <v>0.61348916599672498</v>
      </c>
      <c r="V11" t="s">
        <v>33</v>
      </c>
      <c r="W11">
        <v>0</v>
      </c>
      <c r="X11">
        <v>1</v>
      </c>
      <c r="Y11">
        <v>1</v>
      </c>
      <c r="Z11" t="s">
        <v>34</v>
      </c>
      <c r="AA11" t="s">
        <v>35</v>
      </c>
      <c r="AB11" t="s">
        <v>36</v>
      </c>
      <c r="AC11" t="s">
        <v>33</v>
      </c>
      <c r="AD11" t="s">
        <v>37</v>
      </c>
    </row>
    <row r="12" spans="1:32" x14ac:dyDescent="0.2">
      <c r="A12">
        <v>10</v>
      </c>
      <c r="B12">
        <v>0</v>
      </c>
      <c r="C12">
        <v>10</v>
      </c>
      <c r="D12" t="s">
        <v>38</v>
      </c>
      <c r="E12">
        <v>0</v>
      </c>
      <c r="F12">
        <v>0.64673587500146801</v>
      </c>
      <c r="G12" t="s">
        <v>33</v>
      </c>
      <c r="H12">
        <v>0</v>
      </c>
      <c r="I12">
        <v>10</v>
      </c>
      <c r="J12">
        <v>0</v>
      </c>
      <c r="K12">
        <v>10</v>
      </c>
      <c r="L12">
        <v>0</v>
      </c>
      <c r="M12">
        <v>18.8181680409979</v>
      </c>
      <c r="N12">
        <v>18.8095132909984</v>
      </c>
      <c r="O12">
        <v>18.8181680409979</v>
      </c>
      <c r="P12">
        <v>19.8070325829976</v>
      </c>
      <c r="Q12">
        <v>19.813419374997402</v>
      </c>
      <c r="R12">
        <v>20.458881457998299</v>
      </c>
      <c r="S12" t="s">
        <v>38</v>
      </c>
      <c r="T12">
        <v>0</v>
      </c>
      <c r="U12">
        <v>0.64673587500146801</v>
      </c>
      <c r="V12" t="s">
        <v>33</v>
      </c>
      <c r="W12">
        <v>0</v>
      </c>
      <c r="X12">
        <v>1</v>
      </c>
      <c r="Y12">
        <v>1</v>
      </c>
      <c r="Z12" t="s">
        <v>34</v>
      </c>
      <c r="AA12" t="s">
        <v>35</v>
      </c>
      <c r="AB12" t="s">
        <v>36</v>
      </c>
      <c r="AC12" t="s">
        <v>33</v>
      </c>
      <c r="AD12" t="s">
        <v>37</v>
      </c>
    </row>
    <row r="13" spans="1:32" x14ac:dyDescent="0.2">
      <c r="A13">
        <v>11</v>
      </c>
      <c r="B13">
        <v>0</v>
      </c>
      <c r="C13">
        <v>11</v>
      </c>
      <c r="D13" t="s">
        <v>38</v>
      </c>
      <c r="E13">
        <v>1</v>
      </c>
      <c r="F13">
        <v>0.56955608299904203</v>
      </c>
      <c r="G13" t="s">
        <v>33</v>
      </c>
      <c r="H13">
        <v>3</v>
      </c>
      <c r="I13">
        <v>11</v>
      </c>
      <c r="J13">
        <v>0</v>
      </c>
      <c r="K13">
        <v>11</v>
      </c>
      <c r="L13">
        <v>0</v>
      </c>
      <c r="M13">
        <v>20.467960874997502</v>
      </c>
      <c r="N13">
        <v>20.459507207997301</v>
      </c>
      <c r="O13">
        <v>20.467960874997502</v>
      </c>
      <c r="P13">
        <v>21.457067040999299</v>
      </c>
      <c r="Q13">
        <v>21.462986957998499</v>
      </c>
      <c r="R13">
        <v>22.031259457999099</v>
      </c>
      <c r="S13" t="s">
        <v>38</v>
      </c>
      <c r="T13">
        <v>1</v>
      </c>
      <c r="U13">
        <v>0.56955608299904203</v>
      </c>
      <c r="V13" t="s">
        <v>33</v>
      </c>
      <c r="W13">
        <v>3</v>
      </c>
      <c r="X13">
        <v>1</v>
      </c>
      <c r="Y13">
        <v>1</v>
      </c>
      <c r="Z13" t="s">
        <v>34</v>
      </c>
      <c r="AA13" t="s">
        <v>35</v>
      </c>
      <c r="AB13" t="s">
        <v>36</v>
      </c>
      <c r="AC13" t="s">
        <v>33</v>
      </c>
      <c r="AD13" t="s">
        <v>37</v>
      </c>
    </row>
    <row r="14" spans="1:32" x14ac:dyDescent="0.2">
      <c r="A14">
        <v>12</v>
      </c>
      <c r="B14">
        <v>0</v>
      </c>
      <c r="C14">
        <v>12</v>
      </c>
      <c r="D14" t="s">
        <v>38</v>
      </c>
      <c r="E14">
        <v>1</v>
      </c>
      <c r="F14">
        <v>0.45208087500213801</v>
      </c>
      <c r="G14" t="s">
        <v>33</v>
      </c>
      <c r="H14">
        <v>4</v>
      </c>
      <c r="I14">
        <v>12</v>
      </c>
      <c r="J14">
        <v>0</v>
      </c>
      <c r="K14">
        <v>12</v>
      </c>
      <c r="L14">
        <v>0</v>
      </c>
      <c r="M14">
        <v>22.0401088749968</v>
      </c>
      <c r="N14">
        <v>22.031869374997701</v>
      </c>
      <c r="O14">
        <v>22.0401088749968</v>
      </c>
      <c r="P14">
        <v>23.030518332998302</v>
      </c>
      <c r="Q14">
        <v>23.030518332998302</v>
      </c>
      <c r="R14">
        <v>23.493053199999999</v>
      </c>
      <c r="S14" t="s">
        <v>38</v>
      </c>
      <c r="T14">
        <v>1</v>
      </c>
      <c r="U14">
        <v>0.45208087500213801</v>
      </c>
      <c r="V14" t="s">
        <v>33</v>
      </c>
      <c r="W14">
        <v>4</v>
      </c>
      <c r="X14">
        <v>1</v>
      </c>
      <c r="Y14">
        <v>1</v>
      </c>
      <c r="Z14" t="s">
        <v>34</v>
      </c>
      <c r="AA14" t="s">
        <v>35</v>
      </c>
      <c r="AB14" t="s">
        <v>36</v>
      </c>
      <c r="AC14" t="s">
        <v>33</v>
      </c>
      <c r="AD14" t="s">
        <v>37</v>
      </c>
    </row>
    <row r="15" spans="1:32" x14ac:dyDescent="0.2">
      <c r="A15">
        <v>13</v>
      </c>
      <c r="B15">
        <v>0</v>
      </c>
      <c r="C15">
        <v>13</v>
      </c>
      <c r="D15" t="s">
        <v>38</v>
      </c>
      <c r="E15">
        <v>1</v>
      </c>
      <c r="F15">
        <v>0.49517316600031303</v>
      </c>
      <c r="G15" t="s">
        <v>33</v>
      </c>
      <c r="H15">
        <v>2</v>
      </c>
      <c r="I15">
        <v>13</v>
      </c>
      <c r="J15">
        <v>0</v>
      </c>
      <c r="K15">
        <v>13</v>
      </c>
      <c r="L15">
        <v>0</v>
      </c>
      <c r="M15">
        <v>23.507474082998598</v>
      </c>
      <c r="N15">
        <v>23.493759375</v>
      </c>
      <c r="O15">
        <v>23.507474082998598</v>
      </c>
      <c r="P15">
        <v>24.490578457996801</v>
      </c>
      <c r="Q15">
        <v>24.496596199999999</v>
      </c>
      <c r="R15">
        <v>24.992749957997098</v>
      </c>
      <c r="S15" t="s">
        <v>38</v>
      </c>
      <c r="T15">
        <v>1</v>
      </c>
      <c r="U15">
        <v>0.49517316600031303</v>
      </c>
      <c r="V15" t="s">
        <v>33</v>
      </c>
      <c r="W15">
        <v>2</v>
      </c>
      <c r="X15">
        <v>1</v>
      </c>
      <c r="Y15">
        <v>1</v>
      </c>
      <c r="Z15" t="s">
        <v>34</v>
      </c>
      <c r="AA15" t="s">
        <v>35</v>
      </c>
      <c r="AB15" t="s">
        <v>36</v>
      </c>
      <c r="AC15" t="s">
        <v>33</v>
      </c>
      <c r="AD15" t="s">
        <v>37</v>
      </c>
    </row>
    <row r="16" spans="1:32" x14ac:dyDescent="0.2">
      <c r="A16">
        <v>14</v>
      </c>
      <c r="B16">
        <v>0</v>
      </c>
      <c r="C16">
        <v>14</v>
      </c>
      <c r="D16" t="s">
        <v>38</v>
      </c>
      <c r="E16">
        <v>0</v>
      </c>
      <c r="F16">
        <v>0.53999299899805897</v>
      </c>
      <c r="G16" t="s">
        <v>33</v>
      </c>
      <c r="H16">
        <v>0</v>
      </c>
      <c r="I16">
        <v>14</v>
      </c>
      <c r="J16">
        <v>0</v>
      </c>
      <c r="K16">
        <v>14</v>
      </c>
      <c r="L16">
        <v>0</v>
      </c>
      <c r="M16">
        <v>25.001737332997401</v>
      </c>
      <c r="N16">
        <v>24.993339707998501</v>
      </c>
      <c r="O16">
        <v>25.001737332997401</v>
      </c>
      <c r="P16">
        <v>25.990737124997299</v>
      </c>
      <c r="Q16">
        <v>25.996730374998101</v>
      </c>
      <c r="R16">
        <v>26.542684290998199</v>
      </c>
      <c r="S16" t="s">
        <v>38</v>
      </c>
      <c r="T16">
        <v>0</v>
      </c>
      <c r="U16">
        <v>0.53999299899805897</v>
      </c>
      <c r="V16" t="s">
        <v>33</v>
      </c>
      <c r="W16">
        <v>0</v>
      </c>
      <c r="X16">
        <v>1</v>
      </c>
      <c r="Y16">
        <v>1</v>
      </c>
      <c r="Z16" t="s">
        <v>34</v>
      </c>
      <c r="AA16" t="s">
        <v>35</v>
      </c>
      <c r="AB16" t="s">
        <v>36</v>
      </c>
      <c r="AC16" t="s">
        <v>33</v>
      </c>
      <c r="AD16" t="s">
        <v>37</v>
      </c>
    </row>
    <row r="17" spans="1:31" x14ac:dyDescent="0.2">
      <c r="A17">
        <v>15</v>
      </c>
      <c r="B17">
        <v>0</v>
      </c>
      <c r="C17">
        <v>15</v>
      </c>
      <c r="D17" t="s">
        <v>32</v>
      </c>
      <c r="E17">
        <v>1</v>
      </c>
      <c r="F17">
        <v>0.39209308299905299</v>
      </c>
      <c r="G17" t="s">
        <v>33</v>
      </c>
      <c r="H17">
        <v>0</v>
      </c>
      <c r="I17">
        <v>15</v>
      </c>
      <c r="J17">
        <v>0</v>
      </c>
      <c r="K17">
        <v>15</v>
      </c>
      <c r="L17">
        <v>0</v>
      </c>
      <c r="M17">
        <v>26.551727665999302</v>
      </c>
      <c r="N17">
        <v>26.543291290999999</v>
      </c>
      <c r="O17">
        <v>26.551727665999302</v>
      </c>
      <c r="P17">
        <v>27.540604082998399</v>
      </c>
      <c r="Q17">
        <v>27.546967708</v>
      </c>
      <c r="R17">
        <v>27.942801082997899</v>
      </c>
      <c r="S17" t="s">
        <v>32</v>
      </c>
      <c r="T17">
        <v>1</v>
      </c>
      <c r="U17">
        <v>0.39209308299905299</v>
      </c>
      <c r="V17" t="s">
        <v>33</v>
      </c>
      <c r="W17">
        <v>0</v>
      </c>
      <c r="X17">
        <v>1</v>
      </c>
      <c r="Y17">
        <v>1</v>
      </c>
      <c r="Z17" t="s">
        <v>34</v>
      </c>
      <c r="AA17" t="s">
        <v>35</v>
      </c>
      <c r="AB17" t="s">
        <v>36</v>
      </c>
      <c r="AC17" t="s">
        <v>33</v>
      </c>
      <c r="AD17" t="s">
        <v>37</v>
      </c>
    </row>
    <row r="18" spans="1:31" x14ac:dyDescent="0.2">
      <c r="A18">
        <v>16</v>
      </c>
      <c r="B18">
        <v>0</v>
      </c>
      <c r="C18">
        <v>16</v>
      </c>
      <c r="D18" t="s">
        <v>32</v>
      </c>
      <c r="E18">
        <v>1</v>
      </c>
      <c r="F18">
        <v>0.361422832000243</v>
      </c>
      <c r="G18" t="s">
        <v>33</v>
      </c>
      <c r="H18">
        <v>0</v>
      </c>
      <c r="I18">
        <v>16</v>
      </c>
      <c r="J18">
        <v>0</v>
      </c>
      <c r="K18">
        <v>16</v>
      </c>
      <c r="L18">
        <v>0</v>
      </c>
      <c r="M18">
        <v>27.9517147909973</v>
      </c>
      <c r="N18">
        <v>27.943380874999999</v>
      </c>
      <c r="O18">
        <v>27.9517147909973</v>
      </c>
      <c r="P18">
        <v>28.940440749996899</v>
      </c>
      <c r="Q18">
        <v>28.9462562909975</v>
      </c>
      <c r="R18">
        <v>29.309785540997801</v>
      </c>
      <c r="S18" t="s">
        <v>32</v>
      </c>
      <c r="T18">
        <v>1</v>
      </c>
      <c r="U18">
        <v>0.361422832000243</v>
      </c>
      <c r="V18" t="s">
        <v>33</v>
      </c>
      <c r="W18">
        <v>0</v>
      </c>
      <c r="X18">
        <v>1</v>
      </c>
      <c r="Y18">
        <v>1</v>
      </c>
      <c r="Z18" t="s">
        <v>34</v>
      </c>
      <c r="AA18" t="s">
        <v>35</v>
      </c>
      <c r="AB18" t="s">
        <v>36</v>
      </c>
      <c r="AC18" t="s">
        <v>33</v>
      </c>
      <c r="AD18" t="s">
        <v>37</v>
      </c>
    </row>
    <row r="19" spans="1:31" x14ac:dyDescent="0.2">
      <c r="A19">
        <v>17</v>
      </c>
      <c r="B19">
        <v>0</v>
      </c>
      <c r="C19">
        <v>17</v>
      </c>
      <c r="D19" t="s">
        <v>32</v>
      </c>
      <c r="E19">
        <v>1</v>
      </c>
      <c r="F19">
        <v>0.375422249999246</v>
      </c>
      <c r="G19" t="s">
        <v>33</v>
      </c>
      <c r="H19">
        <v>0</v>
      </c>
      <c r="I19">
        <v>17</v>
      </c>
      <c r="J19">
        <v>0</v>
      </c>
      <c r="K19">
        <v>17</v>
      </c>
      <c r="L19">
        <v>0</v>
      </c>
      <c r="M19">
        <v>29.324248082997599</v>
      </c>
      <c r="N19">
        <v>29.310532374998701</v>
      </c>
      <c r="O19">
        <v>29.324248082997599</v>
      </c>
      <c r="P19">
        <v>30.307326332997</v>
      </c>
      <c r="Q19">
        <v>30.312714665997099</v>
      </c>
      <c r="R19">
        <v>30.692663999998299</v>
      </c>
      <c r="S19" t="s">
        <v>32</v>
      </c>
      <c r="T19">
        <v>1</v>
      </c>
      <c r="U19">
        <v>0.375422249999246</v>
      </c>
      <c r="V19" t="s">
        <v>33</v>
      </c>
      <c r="W19">
        <v>0</v>
      </c>
      <c r="X19">
        <v>1</v>
      </c>
      <c r="Y19">
        <v>1</v>
      </c>
      <c r="Z19" t="s">
        <v>34</v>
      </c>
      <c r="AA19" t="s">
        <v>35</v>
      </c>
      <c r="AB19" t="s">
        <v>36</v>
      </c>
      <c r="AC19" t="s">
        <v>33</v>
      </c>
      <c r="AD19" t="s">
        <v>37</v>
      </c>
    </row>
    <row r="20" spans="1:31" x14ac:dyDescent="0.2">
      <c r="A20">
        <v>18</v>
      </c>
      <c r="B20">
        <v>0</v>
      </c>
      <c r="C20">
        <v>18</v>
      </c>
      <c r="D20" t="s">
        <v>32</v>
      </c>
      <c r="E20">
        <v>0</v>
      </c>
      <c r="F20">
        <v>0.25300245800099203</v>
      </c>
      <c r="G20" t="s">
        <v>33</v>
      </c>
      <c r="H20">
        <v>2</v>
      </c>
      <c r="I20">
        <v>18</v>
      </c>
      <c r="J20">
        <v>0</v>
      </c>
      <c r="K20">
        <v>18</v>
      </c>
      <c r="L20">
        <v>0</v>
      </c>
      <c r="M20">
        <v>30.7011215409984</v>
      </c>
      <c r="N20">
        <v>30.693330665999301</v>
      </c>
      <c r="O20">
        <v>30.7011215409984</v>
      </c>
      <c r="P20">
        <v>31.6907791249977</v>
      </c>
      <c r="Q20">
        <v>31.6967230829977</v>
      </c>
      <c r="R20">
        <v>31.948281375000001</v>
      </c>
      <c r="S20" t="s">
        <v>32</v>
      </c>
      <c r="T20">
        <v>0</v>
      </c>
      <c r="U20">
        <v>0.25300245800099203</v>
      </c>
      <c r="V20" t="s">
        <v>33</v>
      </c>
      <c r="W20">
        <v>2</v>
      </c>
      <c r="X20">
        <v>1</v>
      </c>
      <c r="Y20">
        <v>1</v>
      </c>
      <c r="Z20" t="s">
        <v>34</v>
      </c>
      <c r="AA20" t="s">
        <v>35</v>
      </c>
      <c r="AB20" t="s">
        <v>36</v>
      </c>
      <c r="AC20" t="s">
        <v>33</v>
      </c>
      <c r="AD20" t="s">
        <v>37</v>
      </c>
    </row>
    <row r="21" spans="1:31" x14ac:dyDescent="0.2">
      <c r="A21">
        <v>19</v>
      </c>
      <c r="B21">
        <v>0</v>
      </c>
      <c r="C21">
        <v>19</v>
      </c>
      <c r="D21" t="s">
        <v>32</v>
      </c>
      <c r="E21">
        <v>1</v>
      </c>
      <c r="F21">
        <v>0.41065683299893802</v>
      </c>
      <c r="G21" t="s">
        <v>33</v>
      </c>
      <c r="H21">
        <v>0</v>
      </c>
      <c r="I21">
        <v>19</v>
      </c>
      <c r="J21">
        <v>0</v>
      </c>
      <c r="K21">
        <v>19</v>
      </c>
      <c r="L21">
        <v>0</v>
      </c>
      <c r="M21">
        <v>31.956564874999401</v>
      </c>
      <c r="N21">
        <v>31.948765040997301</v>
      </c>
      <c r="O21">
        <v>31.956564874999401</v>
      </c>
      <c r="P21">
        <v>32.948068790999898</v>
      </c>
      <c r="Q21">
        <v>32.948068790999898</v>
      </c>
      <c r="R21">
        <v>33.365947374997603</v>
      </c>
      <c r="S21" t="s">
        <v>32</v>
      </c>
      <c r="T21">
        <v>1</v>
      </c>
      <c r="U21">
        <v>0.41065683299893802</v>
      </c>
      <c r="V21" t="s">
        <v>33</v>
      </c>
      <c r="W21">
        <v>0</v>
      </c>
      <c r="X21">
        <v>1</v>
      </c>
      <c r="Y21">
        <v>1</v>
      </c>
      <c r="Z21" t="s">
        <v>34</v>
      </c>
      <c r="AA21" t="s">
        <v>35</v>
      </c>
      <c r="AB21" t="s">
        <v>36</v>
      </c>
      <c r="AC21" t="s">
        <v>33</v>
      </c>
      <c r="AD21" t="s">
        <v>37</v>
      </c>
    </row>
    <row r="22" spans="1:31" x14ac:dyDescent="0.2">
      <c r="A22">
        <v>20</v>
      </c>
      <c r="B22">
        <v>0</v>
      </c>
      <c r="C22">
        <v>20</v>
      </c>
      <c r="D22" t="s">
        <v>32</v>
      </c>
      <c r="E22">
        <v>1</v>
      </c>
      <c r="F22">
        <v>0.36289079100242799</v>
      </c>
      <c r="G22" t="s">
        <v>33</v>
      </c>
      <c r="H22">
        <v>0</v>
      </c>
      <c r="I22">
        <v>20</v>
      </c>
      <c r="J22">
        <v>0</v>
      </c>
      <c r="K22">
        <v>20</v>
      </c>
      <c r="L22">
        <v>0</v>
      </c>
      <c r="M22">
        <v>33.374573540997503</v>
      </c>
      <c r="N22">
        <v>33.366503624998501</v>
      </c>
      <c r="O22">
        <v>33.374573540997503</v>
      </c>
      <c r="P22">
        <v>34.364877624997398</v>
      </c>
      <c r="Q22">
        <v>34.364877624997398</v>
      </c>
      <c r="R22">
        <v>34.731132290999</v>
      </c>
      <c r="S22" t="s">
        <v>32</v>
      </c>
      <c r="T22">
        <v>1</v>
      </c>
      <c r="U22">
        <v>0.36289079100242799</v>
      </c>
      <c r="V22" t="s">
        <v>33</v>
      </c>
      <c r="W22">
        <v>0</v>
      </c>
      <c r="X22">
        <v>1</v>
      </c>
      <c r="Y22">
        <v>1</v>
      </c>
      <c r="Z22" t="s">
        <v>34</v>
      </c>
      <c r="AA22" t="s">
        <v>35</v>
      </c>
      <c r="AB22" t="s">
        <v>36</v>
      </c>
      <c r="AC22" t="s">
        <v>33</v>
      </c>
      <c r="AD22" t="s">
        <v>37</v>
      </c>
    </row>
    <row r="23" spans="1:31" x14ac:dyDescent="0.2">
      <c r="A23">
        <v>21</v>
      </c>
      <c r="B23">
        <v>0</v>
      </c>
      <c r="C23">
        <v>21</v>
      </c>
      <c r="D23" t="s">
        <v>32</v>
      </c>
      <c r="E23">
        <v>0</v>
      </c>
      <c r="F23">
        <v>0.37103991600088099</v>
      </c>
      <c r="G23" t="s">
        <v>33</v>
      </c>
      <c r="H23">
        <v>2</v>
      </c>
      <c r="I23">
        <v>21</v>
      </c>
      <c r="J23">
        <v>0</v>
      </c>
      <c r="K23">
        <v>21</v>
      </c>
      <c r="L23">
        <v>0</v>
      </c>
      <c r="M23">
        <v>34.740599749998999</v>
      </c>
      <c r="N23">
        <v>34.731707999999301</v>
      </c>
      <c r="O23">
        <v>34.740599749998999</v>
      </c>
      <c r="P23">
        <v>35.723879707998996</v>
      </c>
      <c r="Q23">
        <v>35.729920957997798</v>
      </c>
      <c r="R23">
        <v>36.099110332997903</v>
      </c>
      <c r="S23" t="s">
        <v>32</v>
      </c>
      <c r="T23">
        <v>0</v>
      </c>
      <c r="U23">
        <v>0.37103991600088099</v>
      </c>
      <c r="V23" t="s">
        <v>33</v>
      </c>
      <c r="W23">
        <v>2</v>
      </c>
      <c r="X23">
        <v>1</v>
      </c>
      <c r="Y23">
        <v>1</v>
      </c>
      <c r="Z23" t="s">
        <v>34</v>
      </c>
      <c r="AA23" t="s">
        <v>35</v>
      </c>
      <c r="AB23" t="s">
        <v>36</v>
      </c>
      <c r="AC23" t="s">
        <v>33</v>
      </c>
      <c r="AD23" t="s">
        <v>37</v>
      </c>
    </row>
    <row r="24" spans="1:31" x14ac:dyDescent="0.2">
      <c r="A24">
        <v>22</v>
      </c>
      <c r="B24">
        <v>0</v>
      </c>
      <c r="C24">
        <v>22</v>
      </c>
      <c r="D24" t="s">
        <v>32</v>
      </c>
      <c r="E24">
        <v>1</v>
      </c>
      <c r="F24">
        <v>0.42859662499904499</v>
      </c>
      <c r="G24" t="s">
        <v>33</v>
      </c>
      <c r="H24">
        <v>0</v>
      </c>
      <c r="I24">
        <v>22</v>
      </c>
      <c r="J24">
        <v>0</v>
      </c>
      <c r="K24">
        <v>22</v>
      </c>
      <c r="L24">
        <v>0</v>
      </c>
      <c r="M24">
        <v>36.124405957998498</v>
      </c>
      <c r="N24">
        <v>36.0997237499977</v>
      </c>
      <c r="O24">
        <v>36.124405957998498</v>
      </c>
      <c r="P24">
        <v>37.0991972079973</v>
      </c>
      <c r="Q24">
        <v>37.113491207997797</v>
      </c>
      <c r="R24">
        <v>37.531551874999401</v>
      </c>
      <c r="S24" t="s">
        <v>32</v>
      </c>
      <c r="T24">
        <v>1</v>
      </c>
      <c r="U24">
        <v>0.42859662499904499</v>
      </c>
      <c r="V24" t="s">
        <v>33</v>
      </c>
      <c r="W24">
        <v>0</v>
      </c>
      <c r="X24">
        <v>1</v>
      </c>
      <c r="Y24">
        <v>1</v>
      </c>
      <c r="Z24" t="s">
        <v>34</v>
      </c>
      <c r="AA24" t="s">
        <v>35</v>
      </c>
      <c r="AB24" t="s">
        <v>36</v>
      </c>
      <c r="AC24" t="s">
        <v>33</v>
      </c>
      <c r="AD24" t="s">
        <v>37</v>
      </c>
    </row>
    <row r="25" spans="1:31" x14ac:dyDescent="0.2">
      <c r="A25">
        <v>23</v>
      </c>
      <c r="B25">
        <v>0</v>
      </c>
      <c r="C25">
        <v>23</v>
      </c>
      <c r="D25" t="s">
        <v>32</v>
      </c>
      <c r="E25">
        <v>0</v>
      </c>
      <c r="F25">
        <v>1.11653391599975</v>
      </c>
      <c r="G25" t="s">
        <v>33</v>
      </c>
      <c r="H25">
        <v>3</v>
      </c>
      <c r="I25">
        <v>23</v>
      </c>
      <c r="J25">
        <v>0</v>
      </c>
      <c r="K25">
        <v>23</v>
      </c>
      <c r="L25">
        <v>0</v>
      </c>
      <c r="M25">
        <v>37.540103832998199</v>
      </c>
      <c r="N25">
        <v>37.532091165998203</v>
      </c>
      <c r="O25">
        <v>37.540103832998199</v>
      </c>
      <c r="P25">
        <v>38.5313327080002</v>
      </c>
      <c r="Q25">
        <v>38.5313327080002</v>
      </c>
      <c r="R25">
        <v>39.660655707997599</v>
      </c>
      <c r="S25" t="s">
        <v>32</v>
      </c>
      <c r="T25">
        <v>0</v>
      </c>
      <c r="U25">
        <v>1.11653391599975</v>
      </c>
      <c r="V25" t="s">
        <v>33</v>
      </c>
      <c r="W25">
        <v>3</v>
      </c>
      <c r="X25">
        <v>1</v>
      </c>
      <c r="Y25">
        <v>1</v>
      </c>
      <c r="Z25" t="s">
        <v>34</v>
      </c>
      <c r="AA25" t="s">
        <v>35</v>
      </c>
      <c r="AB25" t="s">
        <v>36</v>
      </c>
      <c r="AC25" t="s">
        <v>33</v>
      </c>
      <c r="AD25" t="s">
        <v>37</v>
      </c>
    </row>
    <row r="26" spans="1:31" x14ac:dyDescent="0.2">
      <c r="A26">
        <v>24</v>
      </c>
      <c r="B26">
        <v>0</v>
      </c>
      <c r="C26">
        <v>24</v>
      </c>
      <c r="D26" t="s">
        <v>32</v>
      </c>
      <c r="E26">
        <v>0</v>
      </c>
      <c r="F26">
        <v>1.0021106249987399</v>
      </c>
      <c r="G26" t="s">
        <v>33</v>
      </c>
      <c r="H26">
        <v>3</v>
      </c>
      <c r="I26">
        <v>24</v>
      </c>
      <c r="J26">
        <v>0</v>
      </c>
      <c r="K26">
        <v>24</v>
      </c>
      <c r="L26">
        <v>0</v>
      </c>
      <c r="M26">
        <v>39.674386582999396</v>
      </c>
      <c r="N26">
        <v>39.661515957999598</v>
      </c>
      <c r="O26">
        <v>39.674386582999396</v>
      </c>
      <c r="P26">
        <v>40.657774582999899</v>
      </c>
      <c r="Q26">
        <v>40.663497665998797</v>
      </c>
      <c r="R26">
        <v>41.665381915998204</v>
      </c>
      <c r="S26" t="s">
        <v>32</v>
      </c>
      <c r="T26">
        <v>0</v>
      </c>
      <c r="U26">
        <v>1.0021106249987399</v>
      </c>
      <c r="V26" t="s">
        <v>33</v>
      </c>
      <c r="W26">
        <v>3</v>
      </c>
      <c r="X26">
        <v>1</v>
      </c>
      <c r="Y26">
        <v>1</v>
      </c>
      <c r="Z26" t="s">
        <v>34</v>
      </c>
      <c r="AA26" t="s">
        <v>35</v>
      </c>
      <c r="AB26" t="s">
        <v>36</v>
      </c>
      <c r="AC26" t="s">
        <v>33</v>
      </c>
      <c r="AD26" t="s">
        <v>37</v>
      </c>
    </row>
    <row r="27" spans="1:31" x14ac:dyDescent="0.2">
      <c r="A27">
        <v>25</v>
      </c>
      <c r="B27">
        <v>0</v>
      </c>
      <c r="C27">
        <v>25</v>
      </c>
      <c r="D27" t="s">
        <v>32</v>
      </c>
      <c r="E27">
        <v>1</v>
      </c>
      <c r="F27">
        <v>1.16918699899906</v>
      </c>
      <c r="G27" t="s">
        <v>33</v>
      </c>
      <c r="H27">
        <v>0</v>
      </c>
      <c r="I27">
        <v>25</v>
      </c>
      <c r="J27">
        <v>0</v>
      </c>
      <c r="K27">
        <v>25</v>
      </c>
      <c r="L27">
        <v>0</v>
      </c>
      <c r="M27">
        <v>41.673585499996904</v>
      </c>
      <c r="N27">
        <v>41.665867457999397</v>
      </c>
      <c r="O27">
        <v>41.673585499996904</v>
      </c>
      <c r="P27">
        <v>42.667926791000298</v>
      </c>
      <c r="Q27">
        <v>42.667926791000298</v>
      </c>
      <c r="R27">
        <v>43.844195790999898</v>
      </c>
      <c r="S27" t="s">
        <v>32</v>
      </c>
      <c r="T27">
        <v>1</v>
      </c>
      <c r="U27">
        <v>1.16918699899906</v>
      </c>
      <c r="V27" t="s">
        <v>33</v>
      </c>
      <c r="W27">
        <v>0</v>
      </c>
      <c r="X27">
        <v>1</v>
      </c>
      <c r="Y27">
        <v>1</v>
      </c>
      <c r="Z27" t="s">
        <v>34</v>
      </c>
      <c r="AA27" t="s">
        <v>35</v>
      </c>
      <c r="AB27" t="s">
        <v>36</v>
      </c>
      <c r="AC27" t="s">
        <v>33</v>
      </c>
      <c r="AD27" t="s">
        <v>37</v>
      </c>
    </row>
    <row r="28" spans="1:31" x14ac:dyDescent="0.2">
      <c r="A28">
        <v>26</v>
      </c>
      <c r="B28">
        <v>0</v>
      </c>
      <c r="C28">
        <v>26</v>
      </c>
      <c r="D28" t="s">
        <v>38</v>
      </c>
      <c r="E28">
        <v>1</v>
      </c>
      <c r="F28">
        <v>0.836719081999035</v>
      </c>
      <c r="G28" t="s">
        <v>33</v>
      </c>
      <c r="H28">
        <v>-4</v>
      </c>
      <c r="I28">
        <v>26</v>
      </c>
      <c r="J28">
        <v>0</v>
      </c>
      <c r="K28">
        <v>26</v>
      </c>
      <c r="L28">
        <v>0</v>
      </c>
      <c r="M28">
        <v>43.858040207996901</v>
      </c>
      <c r="N28">
        <v>43.844949915997802</v>
      </c>
      <c r="O28">
        <v>43.858040207996901</v>
      </c>
      <c r="P28">
        <v>44.841098165998098</v>
      </c>
      <c r="Q28">
        <v>44.847195915997801</v>
      </c>
      <c r="R28">
        <v>45.681180415998803</v>
      </c>
      <c r="S28" t="s">
        <v>38</v>
      </c>
      <c r="T28">
        <v>1</v>
      </c>
      <c r="U28">
        <v>0.836719081999035</v>
      </c>
      <c r="V28" t="s">
        <v>33</v>
      </c>
      <c r="W28">
        <v>-4</v>
      </c>
      <c r="X28">
        <v>1</v>
      </c>
      <c r="Y28">
        <v>1</v>
      </c>
      <c r="Z28" t="s">
        <v>34</v>
      </c>
      <c r="AA28" t="s">
        <v>35</v>
      </c>
      <c r="AB28" t="s">
        <v>36</v>
      </c>
      <c r="AC28" t="s">
        <v>33</v>
      </c>
      <c r="AD28" t="s">
        <v>37</v>
      </c>
    </row>
    <row r="29" spans="1:31" x14ac:dyDescent="0.2">
      <c r="A29">
        <v>27</v>
      </c>
      <c r="B29">
        <v>0</v>
      </c>
      <c r="C29">
        <v>27</v>
      </c>
      <c r="D29" t="s">
        <v>38</v>
      </c>
      <c r="E29">
        <v>1</v>
      </c>
      <c r="F29">
        <v>1.01833237499886</v>
      </c>
      <c r="G29" t="s">
        <v>33</v>
      </c>
      <c r="H29">
        <v>-4</v>
      </c>
      <c r="I29">
        <v>27</v>
      </c>
      <c r="J29">
        <v>0</v>
      </c>
      <c r="K29">
        <v>27</v>
      </c>
      <c r="L29">
        <v>0</v>
      </c>
      <c r="M29">
        <v>45.691480599999998</v>
      </c>
      <c r="O29">
        <v>45.681664249997901</v>
      </c>
      <c r="P29">
        <v>45.691480599999998</v>
      </c>
      <c r="Q29">
        <v>46.6745870409977</v>
      </c>
      <c r="R29">
        <v>46.681005290996801</v>
      </c>
      <c r="S29">
        <v>47.698978582997299</v>
      </c>
      <c r="T29" t="s">
        <v>38</v>
      </c>
      <c r="U29">
        <v>1</v>
      </c>
      <c r="V29">
        <v>1.01833237499886</v>
      </c>
      <c r="W29" t="s">
        <v>33</v>
      </c>
      <c r="X29">
        <v>-4</v>
      </c>
      <c r="Y29">
        <v>1</v>
      </c>
      <c r="Z29">
        <v>1</v>
      </c>
      <c r="AA29" t="s">
        <v>34</v>
      </c>
      <c r="AB29" t="s">
        <v>35</v>
      </c>
      <c r="AC29" t="s">
        <v>36</v>
      </c>
      <c r="AD29" t="s">
        <v>33</v>
      </c>
      <c r="AE29" t="s">
        <v>37</v>
      </c>
    </row>
    <row r="30" spans="1:31" x14ac:dyDescent="0.2">
      <c r="A30">
        <v>28</v>
      </c>
      <c r="B30">
        <v>0</v>
      </c>
      <c r="C30">
        <v>28</v>
      </c>
      <c r="D30" t="s">
        <v>32</v>
      </c>
      <c r="E30">
        <v>0</v>
      </c>
      <c r="F30">
        <v>1.0433198329992499</v>
      </c>
      <c r="G30" t="s">
        <v>33</v>
      </c>
      <c r="H30">
        <v>3</v>
      </c>
      <c r="I30">
        <v>28</v>
      </c>
      <c r="J30">
        <v>0</v>
      </c>
      <c r="K30">
        <v>28</v>
      </c>
      <c r="L30">
        <v>0</v>
      </c>
      <c r="M30">
        <v>47.707773457997902</v>
      </c>
      <c r="N30">
        <v>47.699511415998103</v>
      </c>
      <c r="O30">
        <v>47.707773457997902</v>
      </c>
      <c r="P30">
        <v>48.698788790999899</v>
      </c>
      <c r="Q30">
        <v>48.698788790999899</v>
      </c>
      <c r="R30">
        <v>49.744267915997597</v>
      </c>
      <c r="S30" t="s">
        <v>32</v>
      </c>
      <c r="T30">
        <v>0</v>
      </c>
      <c r="U30">
        <v>1.0433198329992499</v>
      </c>
      <c r="V30" t="s">
        <v>33</v>
      </c>
      <c r="W30">
        <v>3</v>
      </c>
      <c r="X30">
        <v>1</v>
      </c>
      <c r="Y30">
        <v>1</v>
      </c>
      <c r="Z30" t="s">
        <v>34</v>
      </c>
      <c r="AA30" t="s">
        <v>35</v>
      </c>
      <c r="AB30" t="s">
        <v>36</v>
      </c>
      <c r="AC30" t="s">
        <v>33</v>
      </c>
      <c r="AD30" t="s">
        <v>37</v>
      </c>
    </row>
    <row r="31" spans="1:31" x14ac:dyDescent="0.2">
      <c r="A31">
        <v>29</v>
      </c>
      <c r="B31">
        <v>0</v>
      </c>
      <c r="C31">
        <v>29</v>
      </c>
      <c r="D31" t="s">
        <v>32</v>
      </c>
      <c r="E31">
        <v>1</v>
      </c>
      <c r="F31">
        <v>1.1969361660012501</v>
      </c>
      <c r="G31" t="s">
        <v>33</v>
      </c>
      <c r="H31">
        <v>0</v>
      </c>
      <c r="I31">
        <v>29</v>
      </c>
      <c r="J31">
        <v>0</v>
      </c>
      <c r="K31">
        <v>29</v>
      </c>
      <c r="L31">
        <v>0</v>
      </c>
      <c r="M31">
        <v>49.7582278749978</v>
      </c>
      <c r="N31">
        <v>49.744881415997902</v>
      </c>
      <c r="O31">
        <v>49.7582278749978</v>
      </c>
      <c r="P31">
        <v>50.741406249999201</v>
      </c>
      <c r="Q31">
        <v>50.747393624998899</v>
      </c>
      <c r="R31">
        <v>51.943518165997297</v>
      </c>
      <c r="S31" t="s">
        <v>32</v>
      </c>
      <c r="T31">
        <v>1</v>
      </c>
      <c r="U31">
        <v>1.1969361660012501</v>
      </c>
      <c r="V31" t="s">
        <v>33</v>
      </c>
      <c r="W31">
        <v>0</v>
      </c>
      <c r="X31">
        <v>1</v>
      </c>
      <c r="Y31">
        <v>1</v>
      </c>
      <c r="Z31" t="s">
        <v>34</v>
      </c>
      <c r="AA31" t="s">
        <v>35</v>
      </c>
      <c r="AB31" t="s">
        <v>36</v>
      </c>
      <c r="AC31" t="s">
        <v>33</v>
      </c>
      <c r="AD31" t="s">
        <v>37</v>
      </c>
    </row>
    <row r="32" spans="1:31" x14ac:dyDescent="0.2">
      <c r="A32">
        <v>30</v>
      </c>
      <c r="B32">
        <v>0</v>
      </c>
      <c r="C32">
        <v>30</v>
      </c>
      <c r="D32" t="s">
        <v>32</v>
      </c>
      <c r="E32">
        <v>1</v>
      </c>
      <c r="F32">
        <v>0.45564787499824799</v>
      </c>
      <c r="G32" t="s">
        <v>33</v>
      </c>
      <c r="H32">
        <v>0</v>
      </c>
      <c r="I32">
        <v>30</v>
      </c>
      <c r="J32">
        <v>0</v>
      </c>
      <c r="K32">
        <v>30</v>
      </c>
      <c r="L32">
        <v>0</v>
      </c>
      <c r="M32">
        <v>51.951931249997799</v>
      </c>
      <c r="N32">
        <v>51.943964999998499</v>
      </c>
      <c r="O32">
        <v>51.951931249997799</v>
      </c>
      <c r="P32">
        <v>52.941399290997602</v>
      </c>
      <c r="Q32">
        <v>52.9473932909968</v>
      </c>
      <c r="R32">
        <v>53.398799040998703</v>
      </c>
      <c r="S32" t="s">
        <v>32</v>
      </c>
      <c r="T32">
        <v>1</v>
      </c>
      <c r="U32">
        <v>0.45564787499824799</v>
      </c>
      <c r="V32" t="s">
        <v>33</v>
      </c>
      <c r="W32">
        <v>0</v>
      </c>
      <c r="X32">
        <v>1</v>
      </c>
      <c r="Y32">
        <v>1</v>
      </c>
      <c r="Z32" t="s">
        <v>34</v>
      </c>
      <c r="AA32" t="s">
        <v>35</v>
      </c>
      <c r="AB32" t="s">
        <v>36</v>
      </c>
      <c r="AC32" t="s">
        <v>33</v>
      </c>
      <c r="AD32" t="s">
        <v>37</v>
      </c>
    </row>
    <row r="33" spans="1:30" x14ac:dyDescent="0.2">
      <c r="A33">
        <v>31</v>
      </c>
      <c r="B33">
        <v>0</v>
      </c>
      <c r="C33">
        <v>31</v>
      </c>
      <c r="D33" t="s">
        <v>38</v>
      </c>
      <c r="E33">
        <v>0</v>
      </c>
      <c r="F33">
        <v>0.65982583200093303</v>
      </c>
      <c r="G33" t="s">
        <v>33</v>
      </c>
      <c r="H33">
        <v>0</v>
      </c>
      <c r="I33">
        <v>31</v>
      </c>
      <c r="J33">
        <v>0</v>
      </c>
      <c r="K33">
        <v>31</v>
      </c>
      <c r="L33">
        <v>0</v>
      </c>
      <c r="M33">
        <v>53.407556790996701</v>
      </c>
      <c r="N33">
        <v>53.399247082998002</v>
      </c>
      <c r="O33">
        <v>53.407556790996701</v>
      </c>
      <c r="P33">
        <v>54.391299457998599</v>
      </c>
      <c r="Q33">
        <v>54.3974416249984</v>
      </c>
      <c r="R33">
        <v>55.0607542079997</v>
      </c>
      <c r="S33" t="s">
        <v>38</v>
      </c>
      <c r="T33">
        <v>0</v>
      </c>
      <c r="U33">
        <v>0.65982583200093303</v>
      </c>
      <c r="V33" t="s">
        <v>33</v>
      </c>
      <c r="W33">
        <v>0</v>
      </c>
      <c r="X33">
        <v>1</v>
      </c>
      <c r="Y33">
        <v>1</v>
      </c>
      <c r="Z33" t="s">
        <v>34</v>
      </c>
      <c r="AA33" t="s">
        <v>35</v>
      </c>
      <c r="AB33" t="s">
        <v>36</v>
      </c>
      <c r="AC33" t="s">
        <v>33</v>
      </c>
      <c r="AD33" t="s">
        <v>37</v>
      </c>
    </row>
    <row r="34" spans="1:30" x14ac:dyDescent="0.2">
      <c r="A34">
        <v>32</v>
      </c>
      <c r="B34">
        <v>0</v>
      </c>
      <c r="C34">
        <v>32</v>
      </c>
      <c r="D34" t="s">
        <v>38</v>
      </c>
      <c r="E34">
        <v>1</v>
      </c>
      <c r="F34">
        <v>0.53644179100228895</v>
      </c>
      <c r="G34" t="s">
        <v>33</v>
      </c>
      <c r="H34">
        <v>-3</v>
      </c>
      <c r="I34">
        <v>32</v>
      </c>
      <c r="J34">
        <v>0</v>
      </c>
      <c r="K34">
        <v>32</v>
      </c>
      <c r="L34">
        <v>0</v>
      </c>
      <c r="M34">
        <v>55.070248374999203</v>
      </c>
      <c r="N34">
        <v>55.061590249999398</v>
      </c>
      <c r="O34">
        <v>55.070248374999203</v>
      </c>
      <c r="P34">
        <v>56.0756892499994</v>
      </c>
      <c r="Q34">
        <v>56.0756892499994</v>
      </c>
      <c r="R34">
        <v>56.627516290998699</v>
      </c>
      <c r="S34" t="s">
        <v>38</v>
      </c>
      <c r="T34">
        <v>1</v>
      </c>
      <c r="U34">
        <v>0.53644179100228895</v>
      </c>
      <c r="V34" t="s">
        <v>33</v>
      </c>
      <c r="W34">
        <v>-3</v>
      </c>
      <c r="X34">
        <v>1</v>
      </c>
      <c r="Y34">
        <v>1</v>
      </c>
      <c r="Z34" t="s">
        <v>34</v>
      </c>
      <c r="AA34" t="s">
        <v>35</v>
      </c>
      <c r="AB34" t="s">
        <v>36</v>
      </c>
      <c r="AC34" t="s">
        <v>33</v>
      </c>
      <c r="AD34" t="s">
        <v>37</v>
      </c>
    </row>
    <row r="35" spans="1:30" x14ac:dyDescent="0.2">
      <c r="A35">
        <v>33</v>
      </c>
      <c r="B35">
        <v>0</v>
      </c>
      <c r="C35">
        <v>33</v>
      </c>
      <c r="D35" t="s">
        <v>38</v>
      </c>
      <c r="E35">
        <v>0</v>
      </c>
      <c r="F35">
        <v>0.26482445800138499</v>
      </c>
      <c r="G35" t="s">
        <v>33</v>
      </c>
      <c r="H35">
        <v>0</v>
      </c>
      <c r="I35">
        <v>33</v>
      </c>
      <c r="J35">
        <v>0</v>
      </c>
      <c r="K35">
        <v>33</v>
      </c>
      <c r="L35">
        <v>0</v>
      </c>
      <c r="M35">
        <v>56.642428999999503</v>
      </c>
      <c r="N35">
        <v>56.628068207999597</v>
      </c>
      <c r="O35">
        <v>56.642428999999503</v>
      </c>
      <c r="P35">
        <v>57.6425849579973</v>
      </c>
      <c r="Q35">
        <v>57.6425849579973</v>
      </c>
      <c r="R35">
        <v>57.910841249999002</v>
      </c>
      <c r="S35" t="s">
        <v>38</v>
      </c>
      <c r="T35">
        <v>0</v>
      </c>
      <c r="U35">
        <v>0.26482445800138499</v>
      </c>
      <c r="V35" t="s">
        <v>33</v>
      </c>
      <c r="W35">
        <v>0</v>
      </c>
      <c r="X35">
        <v>1</v>
      </c>
      <c r="Y35">
        <v>1</v>
      </c>
      <c r="Z35" t="s">
        <v>34</v>
      </c>
      <c r="AA35" t="s">
        <v>35</v>
      </c>
      <c r="AB35" t="s">
        <v>36</v>
      </c>
      <c r="AC35" t="s">
        <v>33</v>
      </c>
      <c r="AD35" t="s">
        <v>37</v>
      </c>
    </row>
    <row r="36" spans="1:30" x14ac:dyDescent="0.2">
      <c r="A36">
        <v>34</v>
      </c>
      <c r="B36">
        <v>0</v>
      </c>
      <c r="C36">
        <v>34</v>
      </c>
      <c r="D36" t="s">
        <v>38</v>
      </c>
      <c r="E36">
        <v>1</v>
      </c>
      <c r="F36">
        <v>0.86173399899780601</v>
      </c>
      <c r="G36" t="s">
        <v>33</v>
      </c>
      <c r="H36">
        <v>-4</v>
      </c>
      <c r="I36">
        <v>34</v>
      </c>
      <c r="J36">
        <v>0</v>
      </c>
      <c r="K36">
        <v>34</v>
      </c>
      <c r="L36">
        <v>0</v>
      </c>
      <c r="M36">
        <v>57.925622790997203</v>
      </c>
      <c r="N36">
        <v>57.911364290997803</v>
      </c>
      <c r="O36">
        <v>57.925622790997203</v>
      </c>
      <c r="P36">
        <v>58.915278200000003</v>
      </c>
      <c r="Q36">
        <v>58.915278200000003</v>
      </c>
      <c r="R36">
        <v>59.793806082998302</v>
      </c>
      <c r="S36" t="s">
        <v>38</v>
      </c>
      <c r="T36">
        <v>1</v>
      </c>
      <c r="U36">
        <v>0.86173399899780601</v>
      </c>
      <c r="V36" t="s">
        <v>33</v>
      </c>
      <c r="W36">
        <v>-4</v>
      </c>
      <c r="X36">
        <v>1</v>
      </c>
      <c r="Y36">
        <v>1</v>
      </c>
      <c r="Z36" t="s">
        <v>34</v>
      </c>
      <c r="AA36" t="s">
        <v>35</v>
      </c>
      <c r="AB36" t="s">
        <v>36</v>
      </c>
      <c r="AC36" t="s">
        <v>33</v>
      </c>
      <c r="AD36" t="s">
        <v>37</v>
      </c>
    </row>
    <row r="37" spans="1:30" x14ac:dyDescent="0.2">
      <c r="A37">
        <v>35</v>
      </c>
      <c r="B37">
        <v>0</v>
      </c>
      <c r="C37">
        <v>35</v>
      </c>
      <c r="D37" t="s">
        <v>38</v>
      </c>
      <c r="E37">
        <v>0</v>
      </c>
      <c r="F37">
        <v>0.68214166600227999</v>
      </c>
      <c r="G37" t="s">
        <v>33</v>
      </c>
      <c r="H37">
        <v>0</v>
      </c>
      <c r="I37">
        <v>35</v>
      </c>
      <c r="J37">
        <v>0</v>
      </c>
      <c r="K37">
        <v>35</v>
      </c>
      <c r="L37">
        <v>0</v>
      </c>
      <c r="M37">
        <v>59.809208374997901</v>
      </c>
      <c r="N37">
        <v>59.794230999999797</v>
      </c>
      <c r="O37">
        <v>59.809208374997901</v>
      </c>
      <c r="P37">
        <v>60.792915624999203</v>
      </c>
      <c r="Q37">
        <v>60.809380415998</v>
      </c>
      <c r="R37">
        <v>61.477393207998801</v>
      </c>
      <c r="S37" t="s">
        <v>38</v>
      </c>
      <c r="T37">
        <v>0</v>
      </c>
      <c r="U37">
        <v>0.68214166600227999</v>
      </c>
      <c r="V37" t="s">
        <v>33</v>
      </c>
      <c r="W37">
        <v>0</v>
      </c>
      <c r="X37">
        <v>1</v>
      </c>
      <c r="Y37">
        <v>1</v>
      </c>
      <c r="Z37" t="s">
        <v>34</v>
      </c>
      <c r="AA37" t="s">
        <v>35</v>
      </c>
      <c r="AB37" t="s">
        <v>36</v>
      </c>
      <c r="AC37" t="s">
        <v>33</v>
      </c>
      <c r="AD37" t="s">
        <v>37</v>
      </c>
    </row>
    <row r="38" spans="1:30" x14ac:dyDescent="0.2">
      <c r="A38">
        <v>36</v>
      </c>
      <c r="B38">
        <v>0</v>
      </c>
      <c r="C38">
        <v>36</v>
      </c>
      <c r="D38" t="s">
        <v>32</v>
      </c>
      <c r="E38">
        <v>0</v>
      </c>
      <c r="F38">
        <v>0.30289183299828398</v>
      </c>
      <c r="G38" t="s">
        <v>33</v>
      </c>
      <c r="H38">
        <v>-2</v>
      </c>
      <c r="I38">
        <v>36</v>
      </c>
      <c r="J38">
        <v>0</v>
      </c>
      <c r="K38">
        <v>36</v>
      </c>
      <c r="L38">
        <v>0</v>
      </c>
      <c r="M38">
        <v>61.492394290999002</v>
      </c>
      <c r="N38">
        <v>61.4779026249998</v>
      </c>
      <c r="O38">
        <v>61.492394290999002</v>
      </c>
      <c r="P38">
        <v>62.475270582999599</v>
      </c>
      <c r="Q38">
        <v>62.4813037079984</v>
      </c>
      <c r="R38">
        <v>62.7939619159988</v>
      </c>
      <c r="S38" t="s">
        <v>32</v>
      </c>
      <c r="T38">
        <v>0</v>
      </c>
      <c r="U38">
        <v>0.30289183299828398</v>
      </c>
      <c r="V38" t="s">
        <v>33</v>
      </c>
      <c r="W38">
        <v>-2</v>
      </c>
      <c r="X38">
        <v>1</v>
      </c>
      <c r="Y38">
        <v>1</v>
      </c>
      <c r="Z38" t="s">
        <v>34</v>
      </c>
      <c r="AA38" t="s">
        <v>35</v>
      </c>
      <c r="AB38" t="s">
        <v>36</v>
      </c>
      <c r="AC38" t="s">
        <v>33</v>
      </c>
      <c r="AD38" t="s">
        <v>37</v>
      </c>
    </row>
    <row r="39" spans="1:30" x14ac:dyDescent="0.2">
      <c r="A39">
        <v>37</v>
      </c>
      <c r="B39">
        <v>0</v>
      </c>
      <c r="C39">
        <v>37</v>
      </c>
      <c r="D39" t="s">
        <v>32</v>
      </c>
      <c r="E39">
        <v>1</v>
      </c>
      <c r="F39">
        <v>0.30588766599976203</v>
      </c>
      <c r="G39" t="s">
        <v>33</v>
      </c>
      <c r="H39">
        <v>0</v>
      </c>
      <c r="I39">
        <v>37</v>
      </c>
      <c r="J39">
        <v>0</v>
      </c>
      <c r="K39">
        <v>37</v>
      </c>
      <c r="L39">
        <v>0</v>
      </c>
      <c r="M39">
        <v>62.809283332997403</v>
      </c>
      <c r="N39">
        <v>62.7943851249983</v>
      </c>
      <c r="O39">
        <v>62.809283332997403</v>
      </c>
      <c r="P39">
        <v>63.809392332997902</v>
      </c>
      <c r="Q39">
        <v>63.809392332997902</v>
      </c>
      <c r="R39">
        <v>64.127902958000007</v>
      </c>
      <c r="S39" t="s">
        <v>32</v>
      </c>
      <c r="T39">
        <v>1</v>
      </c>
      <c r="U39">
        <v>0.30588766599976203</v>
      </c>
      <c r="V39" t="s">
        <v>33</v>
      </c>
      <c r="W39">
        <v>0</v>
      </c>
      <c r="X39">
        <v>1</v>
      </c>
      <c r="Y39">
        <v>1</v>
      </c>
      <c r="Z39" t="s">
        <v>34</v>
      </c>
      <c r="AA39" t="s">
        <v>35</v>
      </c>
      <c r="AB39" t="s">
        <v>36</v>
      </c>
      <c r="AC39" t="s">
        <v>33</v>
      </c>
      <c r="AD39" t="s">
        <v>37</v>
      </c>
    </row>
    <row r="40" spans="1:30" x14ac:dyDescent="0.2">
      <c r="A40">
        <v>38</v>
      </c>
      <c r="B40">
        <v>0</v>
      </c>
      <c r="C40">
        <v>38</v>
      </c>
      <c r="D40" t="s">
        <v>32</v>
      </c>
      <c r="E40">
        <v>0</v>
      </c>
      <c r="F40">
        <v>0.70870466599808402</v>
      </c>
      <c r="G40" t="s">
        <v>33</v>
      </c>
      <c r="H40">
        <v>-4</v>
      </c>
      <c r="I40">
        <v>38</v>
      </c>
      <c r="J40">
        <v>0</v>
      </c>
      <c r="K40">
        <v>38</v>
      </c>
      <c r="L40">
        <v>0</v>
      </c>
      <c r="M40">
        <v>64.142168290996693</v>
      </c>
      <c r="N40">
        <v>64.128556290997906</v>
      </c>
      <c r="O40">
        <v>64.142168290996693</v>
      </c>
      <c r="P40">
        <v>65.132678707999702</v>
      </c>
      <c r="Q40">
        <v>65.132678707999702</v>
      </c>
      <c r="R40">
        <v>65.844539832996801</v>
      </c>
      <c r="S40" t="s">
        <v>32</v>
      </c>
      <c r="T40">
        <v>0</v>
      </c>
      <c r="U40">
        <v>0.70870466599808402</v>
      </c>
      <c r="V40" t="s">
        <v>33</v>
      </c>
      <c r="W40">
        <v>-4</v>
      </c>
      <c r="X40">
        <v>1</v>
      </c>
      <c r="Y40">
        <v>1</v>
      </c>
      <c r="Z40" t="s">
        <v>34</v>
      </c>
      <c r="AA40" t="s">
        <v>35</v>
      </c>
      <c r="AB40" t="s">
        <v>36</v>
      </c>
      <c r="AC40" t="s">
        <v>33</v>
      </c>
      <c r="AD40" t="s">
        <v>37</v>
      </c>
    </row>
    <row r="41" spans="1:30" x14ac:dyDescent="0.2">
      <c r="A41">
        <v>39</v>
      </c>
      <c r="B41">
        <v>0</v>
      </c>
      <c r="C41">
        <v>39</v>
      </c>
      <c r="D41" t="s">
        <v>32</v>
      </c>
      <c r="E41">
        <v>1</v>
      </c>
      <c r="F41">
        <v>0.33697537499756403</v>
      </c>
      <c r="G41" t="s">
        <v>33</v>
      </c>
      <c r="H41">
        <v>0</v>
      </c>
      <c r="I41">
        <v>39</v>
      </c>
      <c r="J41">
        <v>0</v>
      </c>
      <c r="K41">
        <v>39</v>
      </c>
      <c r="L41">
        <v>0</v>
      </c>
      <c r="M41">
        <v>65.858886124999103</v>
      </c>
      <c r="N41">
        <v>65.845090624999997</v>
      </c>
      <c r="O41">
        <v>65.858886124999103</v>
      </c>
      <c r="P41">
        <v>66.859308040999096</v>
      </c>
      <c r="Q41">
        <v>66.859308040999096</v>
      </c>
      <c r="R41">
        <v>67.210727000000006</v>
      </c>
      <c r="S41" t="s">
        <v>32</v>
      </c>
      <c r="T41">
        <v>1</v>
      </c>
      <c r="U41">
        <v>0.33697537499756403</v>
      </c>
      <c r="V41" t="s">
        <v>33</v>
      </c>
      <c r="W41">
        <v>0</v>
      </c>
      <c r="X41">
        <v>1</v>
      </c>
      <c r="Y41">
        <v>1</v>
      </c>
      <c r="Z41" t="s">
        <v>34</v>
      </c>
      <c r="AA41" t="s">
        <v>35</v>
      </c>
      <c r="AB41" t="s">
        <v>36</v>
      </c>
      <c r="AC41" t="s">
        <v>33</v>
      </c>
      <c r="AD41" t="s">
        <v>37</v>
      </c>
    </row>
    <row r="42" spans="1:30" x14ac:dyDescent="0.2">
      <c r="A42">
        <v>40</v>
      </c>
      <c r="B42">
        <v>0</v>
      </c>
      <c r="C42">
        <v>40</v>
      </c>
      <c r="D42" t="s">
        <v>38</v>
      </c>
      <c r="E42">
        <v>1</v>
      </c>
      <c r="F42">
        <v>0.67192196000000004</v>
      </c>
      <c r="G42" t="s">
        <v>33</v>
      </c>
      <c r="H42">
        <v>4</v>
      </c>
      <c r="I42">
        <v>40</v>
      </c>
      <c r="J42">
        <v>0</v>
      </c>
      <c r="K42">
        <v>40</v>
      </c>
      <c r="L42">
        <v>0</v>
      </c>
      <c r="M42">
        <v>67.226110124996893</v>
      </c>
      <c r="N42">
        <v>67.211191582999106</v>
      </c>
      <c r="O42">
        <v>67.226110124996893</v>
      </c>
      <c r="P42">
        <v>68.226405582998197</v>
      </c>
      <c r="Q42">
        <v>68.226405582998197</v>
      </c>
      <c r="R42">
        <v>68.911329082999103</v>
      </c>
      <c r="S42" t="s">
        <v>38</v>
      </c>
      <c r="T42">
        <v>1</v>
      </c>
      <c r="U42">
        <v>0.67192196000000004</v>
      </c>
      <c r="V42" t="s">
        <v>33</v>
      </c>
      <c r="W42">
        <v>4</v>
      </c>
      <c r="X42">
        <v>1</v>
      </c>
      <c r="Y42">
        <v>1</v>
      </c>
      <c r="Z42" t="s">
        <v>34</v>
      </c>
      <c r="AA42" t="s">
        <v>35</v>
      </c>
      <c r="AB42" t="s">
        <v>36</v>
      </c>
      <c r="AC42" t="s">
        <v>33</v>
      </c>
      <c r="AD42" t="s">
        <v>37</v>
      </c>
    </row>
    <row r="43" spans="1:30" x14ac:dyDescent="0.2">
      <c r="A43">
        <v>41</v>
      </c>
      <c r="B43">
        <v>0</v>
      </c>
      <c r="C43">
        <v>41</v>
      </c>
      <c r="D43" t="s">
        <v>38</v>
      </c>
      <c r="E43">
        <v>1</v>
      </c>
      <c r="F43">
        <v>0.552896666002197</v>
      </c>
      <c r="G43" t="s">
        <v>33</v>
      </c>
      <c r="H43">
        <v>3</v>
      </c>
      <c r="I43">
        <v>41</v>
      </c>
      <c r="J43">
        <v>0</v>
      </c>
      <c r="K43">
        <v>41</v>
      </c>
      <c r="L43">
        <v>0</v>
      </c>
      <c r="M43">
        <v>68.925816040998996</v>
      </c>
      <c r="N43">
        <v>68.911976749997805</v>
      </c>
      <c r="O43">
        <v>68.925816040998996</v>
      </c>
      <c r="P43">
        <v>69.926157791000094</v>
      </c>
      <c r="Q43">
        <v>69.926157791000094</v>
      </c>
      <c r="R43">
        <v>70.482468749996698</v>
      </c>
      <c r="S43" t="s">
        <v>38</v>
      </c>
      <c r="T43">
        <v>1</v>
      </c>
      <c r="U43">
        <v>0.552896666002197</v>
      </c>
      <c r="V43" t="s">
        <v>33</v>
      </c>
      <c r="W43">
        <v>3</v>
      </c>
      <c r="X43">
        <v>1</v>
      </c>
      <c r="Y43">
        <v>1</v>
      </c>
      <c r="Z43" t="s">
        <v>34</v>
      </c>
      <c r="AA43" t="s">
        <v>35</v>
      </c>
      <c r="AB43" t="s">
        <v>36</v>
      </c>
      <c r="AC43" t="s">
        <v>33</v>
      </c>
      <c r="AD43" t="s">
        <v>37</v>
      </c>
    </row>
    <row r="44" spans="1:30" x14ac:dyDescent="0.2">
      <c r="A44">
        <v>42</v>
      </c>
      <c r="B44">
        <v>0</v>
      </c>
      <c r="C44">
        <v>42</v>
      </c>
      <c r="D44" t="s">
        <v>32</v>
      </c>
      <c r="E44">
        <v>1</v>
      </c>
      <c r="F44">
        <v>0.42623820800145001</v>
      </c>
      <c r="G44" t="s">
        <v>33</v>
      </c>
      <c r="H44">
        <v>0</v>
      </c>
      <c r="I44">
        <v>42</v>
      </c>
      <c r="J44">
        <v>0</v>
      </c>
      <c r="K44">
        <v>42</v>
      </c>
      <c r="L44">
        <v>0</v>
      </c>
      <c r="M44">
        <v>70.492723332998096</v>
      </c>
      <c r="N44">
        <v>70.482866000000001</v>
      </c>
      <c r="O44">
        <v>70.492723332998096</v>
      </c>
      <c r="P44">
        <v>71.493101374999199</v>
      </c>
      <c r="Q44">
        <v>71.493101374999199</v>
      </c>
      <c r="R44">
        <v>71.926251040997101</v>
      </c>
      <c r="S44" t="s">
        <v>32</v>
      </c>
      <c r="T44">
        <v>1</v>
      </c>
      <c r="U44">
        <v>0.42623820800145001</v>
      </c>
      <c r="V44" t="s">
        <v>33</v>
      </c>
      <c r="W44">
        <v>0</v>
      </c>
      <c r="X44">
        <v>1</v>
      </c>
      <c r="Y44">
        <v>1</v>
      </c>
      <c r="Z44" t="s">
        <v>34</v>
      </c>
      <c r="AA44" t="s">
        <v>35</v>
      </c>
      <c r="AB44" t="s">
        <v>36</v>
      </c>
      <c r="AC44" t="s">
        <v>33</v>
      </c>
      <c r="AD44" t="s">
        <v>37</v>
      </c>
    </row>
    <row r="45" spans="1:30" x14ac:dyDescent="0.2">
      <c r="A45">
        <v>43</v>
      </c>
      <c r="B45">
        <v>0</v>
      </c>
      <c r="C45">
        <v>43</v>
      </c>
      <c r="D45" t="s">
        <v>32</v>
      </c>
      <c r="E45">
        <v>0</v>
      </c>
      <c r="F45">
        <v>0.39702166600181898</v>
      </c>
      <c r="G45" t="s">
        <v>33</v>
      </c>
      <c r="H45">
        <v>4</v>
      </c>
      <c r="I45">
        <v>43</v>
      </c>
      <c r="J45">
        <v>0</v>
      </c>
      <c r="K45">
        <v>43</v>
      </c>
      <c r="L45">
        <v>0</v>
      </c>
      <c r="M45">
        <v>71.931549832999707</v>
      </c>
      <c r="N45">
        <v>71.926442874999296</v>
      </c>
      <c r="O45">
        <v>71.931549832999707</v>
      </c>
      <c r="P45">
        <v>72.917325199999993</v>
      </c>
      <c r="Q45">
        <v>72.925226624996796</v>
      </c>
      <c r="R45">
        <v>73.328371790998006</v>
      </c>
      <c r="S45" t="s">
        <v>32</v>
      </c>
      <c r="T45">
        <v>0</v>
      </c>
      <c r="U45">
        <v>0.39702166600181898</v>
      </c>
      <c r="V45" t="s">
        <v>33</v>
      </c>
      <c r="W45">
        <v>4</v>
      </c>
      <c r="X45">
        <v>1</v>
      </c>
      <c r="Y45">
        <v>1</v>
      </c>
      <c r="Z45" t="s">
        <v>34</v>
      </c>
      <c r="AA45" t="s">
        <v>35</v>
      </c>
      <c r="AB45" t="s">
        <v>36</v>
      </c>
      <c r="AC45" t="s">
        <v>33</v>
      </c>
      <c r="AD45" t="s">
        <v>37</v>
      </c>
    </row>
    <row r="46" spans="1:30" x14ac:dyDescent="0.2">
      <c r="A46">
        <v>44</v>
      </c>
      <c r="B46">
        <v>0</v>
      </c>
      <c r="C46">
        <v>44</v>
      </c>
      <c r="D46" t="s">
        <v>38</v>
      </c>
      <c r="E46">
        <v>1</v>
      </c>
      <c r="F46">
        <v>0.86786724899866297</v>
      </c>
      <c r="G46" t="s">
        <v>33</v>
      </c>
      <c r="H46">
        <v>-5</v>
      </c>
      <c r="I46">
        <v>44</v>
      </c>
      <c r="J46">
        <v>0</v>
      </c>
      <c r="K46">
        <v>44</v>
      </c>
      <c r="L46">
        <v>0</v>
      </c>
      <c r="M46">
        <v>73.342289290998394</v>
      </c>
      <c r="N46">
        <v>73.329072100000005</v>
      </c>
      <c r="O46">
        <v>73.342289290998394</v>
      </c>
      <c r="P46">
        <v>74.325569040996896</v>
      </c>
      <c r="Q46">
        <v>74.331543457999899</v>
      </c>
      <c r="R46">
        <v>75.200460165997299</v>
      </c>
      <c r="S46" t="s">
        <v>38</v>
      </c>
      <c r="T46">
        <v>1</v>
      </c>
      <c r="U46">
        <v>0.86786724899866297</v>
      </c>
      <c r="V46" t="s">
        <v>33</v>
      </c>
      <c r="W46">
        <v>-5</v>
      </c>
      <c r="X46">
        <v>1</v>
      </c>
      <c r="Y46">
        <v>1</v>
      </c>
      <c r="Z46" t="s">
        <v>34</v>
      </c>
      <c r="AA46" t="s">
        <v>35</v>
      </c>
      <c r="AB46" t="s">
        <v>36</v>
      </c>
      <c r="AC46" t="s">
        <v>33</v>
      </c>
      <c r="AD46" t="s">
        <v>37</v>
      </c>
    </row>
    <row r="47" spans="1:30" x14ac:dyDescent="0.2">
      <c r="A47">
        <v>45</v>
      </c>
      <c r="B47">
        <v>0</v>
      </c>
      <c r="C47">
        <v>45</v>
      </c>
      <c r="D47" t="s">
        <v>32</v>
      </c>
      <c r="E47">
        <v>1</v>
      </c>
      <c r="F47">
        <v>0.64444766600354297</v>
      </c>
      <c r="G47" t="s">
        <v>33</v>
      </c>
      <c r="H47">
        <v>0</v>
      </c>
      <c r="I47">
        <v>45</v>
      </c>
      <c r="J47">
        <v>0</v>
      </c>
      <c r="K47">
        <v>45</v>
      </c>
      <c r="L47">
        <v>0</v>
      </c>
      <c r="M47">
        <v>75.209236332997506</v>
      </c>
      <c r="N47">
        <v>75.200953707997499</v>
      </c>
      <c r="O47">
        <v>75.209236332997506</v>
      </c>
      <c r="P47">
        <v>76.198953832998001</v>
      </c>
      <c r="Q47">
        <v>76.198953832998001</v>
      </c>
      <c r="R47">
        <v>76.849760665998403</v>
      </c>
      <c r="S47" t="s">
        <v>32</v>
      </c>
      <c r="T47">
        <v>1</v>
      </c>
      <c r="U47">
        <v>0.64444766600354297</v>
      </c>
      <c r="V47" t="s">
        <v>33</v>
      </c>
      <c r="W47">
        <v>0</v>
      </c>
      <c r="X47">
        <v>1</v>
      </c>
      <c r="Y47">
        <v>1</v>
      </c>
      <c r="Z47" t="s">
        <v>34</v>
      </c>
      <c r="AA47" t="s">
        <v>35</v>
      </c>
      <c r="AB47" t="s">
        <v>36</v>
      </c>
      <c r="AC47" t="s">
        <v>33</v>
      </c>
      <c r="AD47" t="s">
        <v>37</v>
      </c>
    </row>
    <row r="48" spans="1:30" x14ac:dyDescent="0.2">
      <c r="A48">
        <v>46</v>
      </c>
      <c r="B48">
        <v>0</v>
      </c>
      <c r="C48">
        <v>46</v>
      </c>
      <c r="D48" t="s">
        <v>32</v>
      </c>
      <c r="E48">
        <v>1</v>
      </c>
      <c r="F48">
        <v>0.51295366600243097</v>
      </c>
      <c r="G48" t="s">
        <v>33</v>
      </c>
      <c r="H48">
        <v>0</v>
      </c>
      <c r="I48">
        <v>46</v>
      </c>
      <c r="J48">
        <v>0</v>
      </c>
      <c r="K48">
        <v>46</v>
      </c>
      <c r="L48">
        <v>0</v>
      </c>
      <c r="M48">
        <v>76.858636415999996</v>
      </c>
      <c r="N48">
        <v>76.850334540999</v>
      </c>
      <c r="O48">
        <v>76.858636415999996</v>
      </c>
      <c r="P48">
        <v>77.849546333000006</v>
      </c>
      <c r="Q48">
        <v>77.849546333000006</v>
      </c>
      <c r="R48">
        <v>78.367707999997904</v>
      </c>
      <c r="S48" t="s">
        <v>32</v>
      </c>
      <c r="T48">
        <v>1</v>
      </c>
      <c r="U48">
        <v>0.51295366600243097</v>
      </c>
      <c r="V48" t="s">
        <v>33</v>
      </c>
      <c r="W48">
        <v>0</v>
      </c>
      <c r="X48">
        <v>1</v>
      </c>
      <c r="Y48">
        <v>1</v>
      </c>
      <c r="Z48" t="s">
        <v>34</v>
      </c>
      <c r="AA48" t="s">
        <v>35</v>
      </c>
      <c r="AB48" t="s">
        <v>36</v>
      </c>
      <c r="AC48" t="s">
        <v>33</v>
      </c>
      <c r="AD48" t="s">
        <v>37</v>
      </c>
    </row>
    <row r="49" spans="1:31" x14ac:dyDescent="0.2">
      <c r="A49">
        <v>47</v>
      </c>
      <c r="B49">
        <v>0</v>
      </c>
      <c r="C49">
        <v>47</v>
      </c>
      <c r="D49" t="s">
        <v>32</v>
      </c>
      <c r="E49">
        <v>1</v>
      </c>
      <c r="F49">
        <v>0.59166812499824994</v>
      </c>
      <c r="G49" t="s">
        <v>33</v>
      </c>
      <c r="H49">
        <v>0</v>
      </c>
      <c r="I49">
        <v>47</v>
      </c>
      <c r="J49">
        <v>0</v>
      </c>
      <c r="K49">
        <v>47</v>
      </c>
      <c r="L49">
        <v>0</v>
      </c>
      <c r="M49">
        <v>78.377553800000001</v>
      </c>
      <c r="O49">
        <v>78.368303874998603</v>
      </c>
      <c r="P49">
        <v>78.377553800000001</v>
      </c>
      <c r="Q49">
        <v>79.366005290998103</v>
      </c>
      <c r="R49">
        <v>79.375854457997704</v>
      </c>
      <c r="S49">
        <v>79.961234790996897</v>
      </c>
      <c r="T49" t="s">
        <v>32</v>
      </c>
      <c r="U49">
        <v>1</v>
      </c>
      <c r="V49">
        <v>0.59166812499824994</v>
      </c>
      <c r="W49" t="s">
        <v>33</v>
      </c>
      <c r="X49">
        <v>0</v>
      </c>
      <c r="Y49">
        <v>1</v>
      </c>
      <c r="Z49">
        <v>1</v>
      </c>
      <c r="AA49" t="s">
        <v>34</v>
      </c>
      <c r="AB49" t="s">
        <v>35</v>
      </c>
      <c r="AC49" t="s">
        <v>36</v>
      </c>
      <c r="AD49" t="s">
        <v>33</v>
      </c>
      <c r="AE49" t="s">
        <v>37</v>
      </c>
    </row>
    <row r="50" spans="1:31" x14ac:dyDescent="0.2">
      <c r="A50">
        <v>48</v>
      </c>
      <c r="B50">
        <v>0</v>
      </c>
      <c r="C50">
        <v>48</v>
      </c>
      <c r="D50" t="s">
        <v>32</v>
      </c>
      <c r="E50">
        <v>1</v>
      </c>
      <c r="F50">
        <v>0.62401183199835897</v>
      </c>
      <c r="G50" t="s">
        <v>33</v>
      </c>
      <c r="H50">
        <v>0</v>
      </c>
      <c r="I50">
        <v>48</v>
      </c>
      <c r="J50">
        <v>0</v>
      </c>
      <c r="K50">
        <v>48</v>
      </c>
      <c r="L50">
        <v>0</v>
      </c>
      <c r="M50">
        <v>79.971129874997104</v>
      </c>
      <c r="N50">
        <v>79.961919999997903</v>
      </c>
      <c r="O50">
        <v>79.971129874997104</v>
      </c>
      <c r="P50">
        <v>80.959325582996797</v>
      </c>
      <c r="Q50">
        <v>80.965147874998294</v>
      </c>
      <c r="R50">
        <v>81.594925415996798</v>
      </c>
      <c r="S50" t="s">
        <v>32</v>
      </c>
      <c r="T50">
        <v>1</v>
      </c>
      <c r="U50">
        <v>0.62401183199835897</v>
      </c>
      <c r="V50" t="s">
        <v>33</v>
      </c>
      <c r="W50">
        <v>0</v>
      </c>
      <c r="X50">
        <v>1</v>
      </c>
      <c r="Y50">
        <v>1</v>
      </c>
      <c r="Z50" t="s">
        <v>34</v>
      </c>
      <c r="AA50" t="s">
        <v>35</v>
      </c>
      <c r="AB50" t="s">
        <v>36</v>
      </c>
      <c r="AC50" t="s">
        <v>33</v>
      </c>
      <c r="AD50" t="s">
        <v>37</v>
      </c>
    </row>
    <row r="51" spans="1:31" x14ac:dyDescent="0.2">
      <c r="A51">
        <v>49</v>
      </c>
      <c r="B51">
        <v>0</v>
      </c>
      <c r="C51">
        <v>49</v>
      </c>
      <c r="D51" t="s">
        <v>32</v>
      </c>
      <c r="E51">
        <v>1</v>
      </c>
      <c r="F51">
        <v>0.37627224899915701</v>
      </c>
      <c r="G51" t="s">
        <v>33</v>
      </c>
      <c r="H51">
        <v>0</v>
      </c>
      <c r="I51">
        <v>49</v>
      </c>
      <c r="J51">
        <v>0</v>
      </c>
      <c r="K51">
        <v>49</v>
      </c>
      <c r="L51">
        <v>0</v>
      </c>
      <c r="M51">
        <v>81.609338699999995</v>
      </c>
      <c r="O51">
        <v>81.595522540999795</v>
      </c>
      <c r="P51">
        <v>81.609338699999995</v>
      </c>
      <c r="Q51">
        <v>82.592501540999294</v>
      </c>
      <c r="R51">
        <v>82.598637299999993</v>
      </c>
      <c r="S51">
        <v>82.979755290998497</v>
      </c>
      <c r="T51" t="s">
        <v>32</v>
      </c>
      <c r="U51">
        <v>1</v>
      </c>
      <c r="V51">
        <v>0.37627224899915701</v>
      </c>
      <c r="W51" t="s">
        <v>33</v>
      </c>
      <c r="X51">
        <v>0</v>
      </c>
      <c r="Y51">
        <v>1</v>
      </c>
      <c r="Z51">
        <v>1</v>
      </c>
      <c r="AA51" t="s">
        <v>34</v>
      </c>
      <c r="AB51" t="s">
        <v>35</v>
      </c>
      <c r="AC51" t="s">
        <v>36</v>
      </c>
      <c r="AD51" t="s">
        <v>33</v>
      </c>
      <c r="AE51" t="s">
        <v>37</v>
      </c>
    </row>
    <row r="52" spans="1:31" x14ac:dyDescent="0.2">
      <c r="A52">
        <v>50</v>
      </c>
      <c r="B52">
        <v>0</v>
      </c>
      <c r="C52">
        <v>50</v>
      </c>
      <c r="D52" t="s">
        <v>38</v>
      </c>
      <c r="E52">
        <v>1</v>
      </c>
      <c r="F52">
        <v>0.29779191600027799</v>
      </c>
      <c r="G52" t="s">
        <v>33</v>
      </c>
      <c r="H52">
        <v>-3</v>
      </c>
      <c r="I52">
        <v>50</v>
      </c>
      <c r="J52">
        <v>0</v>
      </c>
      <c r="K52">
        <v>50</v>
      </c>
      <c r="L52">
        <v>0</v>
      </c>
      <c r="M52">
        <v>82.992558832997005</v>
      </c>
      <c r="N52">
        <v>82.980555124999199</v>
      </c>
      <c r="O52">
        <v>82.992558832997005</v>
      </c>
      <c r="P52">
        <v>83.975823582997606</v>
      </c>
      <c r="Q52">
        <v>83.982424582998604</v>
      </c>
      <c r="R52">
        <v>84.277687333000301</v>
      </c>
      <c r="S52" t="s">
        <v>38</v>
      </c>
      <c r="T52">
        <v>1</v>
      </c>
      <c r="U52">
        <v>0.29779191600027799</v>
      </c>
      <c r="V52" t="s">
        <v>33</v>
      </c>
      <c r="W52">
        <v>-3</v>
      </c>
      <c r="X52">
        <v>1</v>
      </c>
      <c r="Y52">
        <v>1</v>
      </c>
      <c r="Z52" t="s">
        <v>34</v>
      </c>
      <c r="AA52" t="s">
        <v>35</v>
      </c>
      <c r="AB52" t="s">
        <v>36</v>
      </c>
      <c r="AC52" t="s">
        <v>33</v>
      </c>
      <c r="AD52" t="s">
        <v>37</v>
      </c>
    </row>
    <row r="53" spans="1:31" x14ac:dyDescent="0.2">
      <c r="A53">
        <v>51</v>
      </c>
      <c r="B53">
        <v>0</v>
      </c>
      <c r="C53">
        <v>51</v>
      </c>
      <c r="D53" t="s">
        <v>38</v>
      </c>
      <c r="E53">
        <v>0</v>
      </c>
      <c r="F53">
        <v>0.26950179100094801</v>
      </c>
      <c r="G53" t="s">
        <v>33</v>
      </c>
      <c r="H53">
        <v>0</v>
      </c>
      <c r="I53">
        <v>51</v>
      </c>
      <c r="J53">
        <v>0</v>
      </c>
      <c r="K53">
        <v>51</v>
      </c>
      <c r="L53">
        <v>0</v>
      </c>
      <c r="M53">
        <v>84.286276749997299</v>
      </c>
      <c r="N53">
        <v>84.278193599999994</v>
      </c>
      <c r="O53">
        <v>84.286276749997299</v>
      </c>
      <c r="P53">
        <v>85.276038832998793</v>
      </c>
      <c r="Q53">
        <v>85.281819040999807</v>
      </c>
      <c r="R53">
        <v>85.551759374997303</v>
      </c>
      <c r="S53" t="s">
        <v>38</v>
      </c>
      <c r="T53">
        <v>0</v>
      </c>
      <c r="U53">
        <v>0.26950179100094801</v>
      </c>
      <c r="V53" t="s">
        <v>33</v>
      </c>
      <c r="W53">
        <v>0</v>
      </c>
      <c r="X53">
        <v>1</v>
      </c>
      <c r="Y53">
        <v>1</v>
      </c>
      <c r="Z53" t="s">
        <v>34</v>
      </c>
      <c r="AA53" t="s">
        <v>35</v>
      </c>
      <c r="AB53" t="s">
        <v>36</v>
      </c>
      <c r="AC53" t="s">
        <v>33</v>
      </c>
      <c r="AD53" t="s">
        <v>37</v>
      </c>
    </row>
    <row r="54" spans="1:31" x14ac:dyDescent="0.2">
      <c r="A54">
        <v>52</v>
      </c>
      <c r="B54">
        <v>0</v>
      </c>
      <c r="C54">
        <v>52</v>
      </c>
      <c r="D54" t="s">
        <v>38</v>
      </c>
      <c r="E54">
        <v>1</v>
      </c>
      <c r="F54">
        <v>0.68856362400037996</v>
      </c>
      <c r="G54" t="s">
        <v>33</v>
      </c>
      <c r="H54">
        <v>-5</v>
      </c>
      <c r="I54">
        <v>52</v>
      </c>
      <c r="J54">
        <v>0</v>
      </c>
      <c r="K54">
        <v>52</v>
      </c>
      <c r="L54">
        <v>0</v>
      </c>
      <c r="M54">
        <v>85.576063999997103</v>
      </c>
      <c r="N54">
        <v>85.552341040998698</v>
      </c>
      <c r="O54">
        <v>85.576063999997103</v>
      </c>
      <c r="P54">
        <v>86.560045700000003</v>
      </c>
      <c r="Q54">
        <v>86.566356125000297</v>
      </c>
      <c r="R54">
        <v>87.262171582999102</v>
      </c>
      <c r="S54" t="s">
        <v>38</v>
      </c>
      <c r="T54">
        <v>1</v>
      </c>
      <c r="U54">
        <v>0.68856362400037996</v>
      </c>
      <c r="V54" t="s">
        <v>33</v>
      </c>
      <c r="W54">
        <v>-5</v>
      </c>
      <c r="X54">
        <v>1</v>
      </c>
      <c r="Y54">
        <v>1</v>
      </c>
      <c r="Z54" t="s">
        <v>34</v>
      </c>
      <c r="AA54" t="s">
        <v>35</v>
      </c>
      <c r="AB54" t="s">
        <v>36</v>
      </c>
      <c r="AC54" t="s">
        <v>33</v>
      </c>
      <c r="AD54" t="s">
        <v>37</v>
      </c>
    </row>
    <row r="55" spans="1:31" x14ac:dyDescent="0.2">
      <c r="A55">
        <v>53</v>
      </c>
      <c r="B55">
        <v>0</v>
      </c>
      <c r="C55">
        <v>53</v>
      </c>
      <c r="D55" t="s">
        <v>38</v>
      </c>
      <c r="E55">
        <v>0</v>
      </c>
      <c r="F55">
        <v>0.81616708300134599</v>
      </c>
      <c r="G55" t="s">
        <v>33</v>
      </c>
      <c r="H55">
        <v>0</v>
      </c>
      <c r="I55">
        <v>53</v>
      </c>
      <c r="J55">
        <v>0</v>
      </c>
      <c r="K55">
        <v>53</v>
      </c>
      <c r="L55">
        <v>0</v>
      </c>
      <c r="M55">
        <v>87.276268874997101</v>
      </c>
      <c r="N55">
        <v>87.2629198329996</v>
      </c>
      <c r="O55">
        <v>87.276268874997101</v>
      </c>
      <c r="P55">
        <v>88.259489700000003</v>
      </c>
      <c r="Q55">
        <v>88.265374624999794</v>
      </c>
      <c r="R55">
        <v>89.078269790999897</v>
      </c>
      <c r="S55" t="s">
        <v>38</v>
      </c>
      <c r="T55">
        <v>0</v>
      </c>
      <c r="U55">
        <v>0.81616708300134599</v>
      </c>
      <c r="V55" t="s">
        <v>33</v>
      </c>
      <c r="W55">
        <v>0</v>
      </c>
      <c r="X55">
        <v>1</v>
      </c>
      <c r="Y55">
        <v>1</v>
      </c>
      <c r="Z55" t="s">
        <v>34</v>
      </c>
      <c r="AA55" t="s">
        <v>35</v>
      </c>
      <c r="AB55" t="s">
        <v>36</v>
      </c>
      <c r="AC55" t="s">
        <v>33</v>
      </c>
      <c r="AD55" t="s">
        <v>37</v>
      </c>
    </row>
    <row r="56" spans="1:31" x14ac:dyDescent="0.2">
      <c r="A56">
        <v>54</v>
      </c>
      <c r="B56">
        <v>0</v>
      </c>
      <c r="C56">
        <v>54</v>
      </c>
      <c r="D56" t="s">
        <v>32</v>
      </c>
      <c r="E56">
        <v>0</v>
      </c>
      <c r="F56">
        <v>8.2651210000000003E-2</v>
      </c>
      <c r="G56" t="s">
        <v>33</v>
      </c>
      <c r="H56">
        <v>4</v>
      </c>
      <c r="I56">
        <v>54</v>
      </c>
      <c r="J56">
        <v>0</v>
      </c>
      <c r="K56">
        <v>54</v>
      </c>
      <c r="L56">
        <v>0</v>
      </c>
      <c r="M56">
        <v>89.087464000000097</v>
      </c>
      <c r="N56">
        <v>89.0788977909978</v>
      </c>
      <c r="O56">
        <v>89.087464000000097</v>
      </c>
      <c r="P56">
        <v>90.076064790999197</v>
      </c>
      <c r="Q56">
        <v>90.082066457998707</v>
      </c>
      <c r="R56">
        <v>90.161755790999393</v>
      </c>
      <c r="S56" t="s">
        <v>32</v>
      </c>
      <c r="T56">
        <v>0</v>
      </c>
      <c r="U56">
        <v>8.2651210000000003E-2</v>
      </c>
      <c r="V56" t="s">
        <v>33</v>
      </c>
      <c r="W56">
        <v>4</v>
      </c>
      <c r="X56">
        <v>1</v>
      </c>
      <c r="Y56">
        <v>1</v>
      </c>
      <c r="Z56" t="s">
        <v>34</v>
      </c>
      <c r="AA56" t="s">
        <v>35</v>
      </c>
      <c r="AB56" t="s">
        <v>36</v>
      </c>
      <c r="AC56" t="s">
        <v>33</v>
      </c>
      <c r="AD56" t="s">
        <v>37</v>
      </c>
    </row>
    <row r="57" spans="1:31" x14ac:dyDescent="0.2">
      <c r="A57">
        <v>55</v>
      </c>
      <c r="B57">
        <v>0</v>
      </c>
      <c r="C57">
        <v>55</v>
      </c>
      <c r="D57" t="s">
        <v>32</v>
      </c>
      <c r="E57">
        <v>1</v>
      </c>
      <c r="F57">
        <v>0.25444729100127</v>
      </c>
      <c r="G57" t="s">
        <v>33</v>
      </c>
      <c r="H57">
        <v>0</v>
      </c>
      <c r="I57">
        <v>55</v>
      </c>
      <c r="J57">
        <v>0</v>
      </c>
      <c r="K57">
        <v>55</v>
      </c>
      <c r="L57">
        <v>0</v>
      </c>
      <c r="M57">
        <v>90.170907165996994</v>
      </c>
      <c r="N57">
        <v>90.162299832998499</v>
      </c>
      <c r="O57">
        <v>90.170907165996994</v>
      </c>
      <c r="P57">
        <v>91.159216749998393</v>
      </c>
      <c r="Q57">
        <v>91.165154457998099</v>
      </c>
      <c r="R57">
        <v>91.417631749998606</v>
      </c>
      <c r="S57" t="s">
        <v>32</v>
      </c>
      <c r="T57">
        <v>1</v>
      </c>
      <c r="U57">
        <v>0.25444729100127</v>
      </c>
      <c r="V57" t="s">
        <v>33</v>
      </c>
      <c r="W57">
        <v>0</v>
      </c>
      <c r="X57">
        <v>1</v>
      </c>
      <c r="Y57">
        <v>1</v>
      </c>
      <c r="Z57" t="s">
        <v>34</v>
      </c>
      <c r="AA57" t="s">
        <v>35</v>
      </c>
      <c r="AB57" t="s">
        <v>36</v>
      </c>
      <c r="AC57" t="s">
        <v>33</v>
      </c>
      <c r="AD57" t="s">
        <v>37</v>
      </c>
    </row>
    <row r="58" spans="1:31" x14ac:dyDescent="0.2">
      <c r="A58">
        <v>56</v>
      </c>
      <c r="B58">
        <v>0</v>
      </c>
      <c r="C58">
        <v>56</v>
      </c>
      <c r="D58" t="s">
        <v>38</v>
      </c>
      <c r="E58">
        <v>1</v>
      </c>
      <c r="F58">
        <v>0.75815262499963798</v>
      </c>
      <c r="G58" t="s">
        <v>33</v>
      </c>
      <c r="H58">
        <v>4</v>
      </c>
      <c r="I58">
        <v>56</v>
      </c>
      <c r="J58">
        <v>0</v>
      </c>
      <c r="K58">
        <v>56</v>
      </c>
      <c r="L58">
        <v>0</v>
      </c>
      <c r="M58">
        <v>91.426149582999599</v>
      </c>
      <c r="N58">
        <v>91.418118300000003</v>
      </c>
      <c r="O58">
        <v>91.426149582999599</v>
      </c>
      <c r="P58">
        <v>92.416684915999198</v>
      </c>
      <c r="Q58">
        <v>92.416684915999198</v>
      </c>
      <c r="R58">
        <v>93.178408000000005</v>
      </c>
      <c r="S58" t="s">
        <v>38</v>
      </c>
      <c r="T58">
        <v>1</v>
      </c>
      <c r="U58">
        <v>0.75815262499963798</v>
      </c>
      <c r="V58" t="s">
        <v>33</v>
      </c>
      <c r="W58">
        <v>4</v>
      </c>
      <c r="X58">
        <v>1</v>
      </c>
      <c r="Y58">
        <v>1</v>
      </c>
      <c r="Z58" t="s">
        <v>34</v>
      </c>
      <c r="AA58" t="s">
        <v>35</v>
      </c>
      <c r="AB58" t="s">
        <v>36</v>
      </c>
      <c r="AC58" t="s">
        <v>33</v>
      </c>
      <c r="AD58" t="s">
        <v>37</v>
      </c>
    </row>
    <row r="59" spans="1:31" x14ac:dyDescent="0.2">
      <c r="A59">
        <v>57</v>
      </c>
      <c r="B59">
        <v>0</v>
      </c>
      <c r="C59">
        <v>57</v>
      </c>
      <c r="D59" t="s">
        <v>32</v>
      </c>
      <c r="E59">
        <v>0</v>
      </c>
      <c r="F59">
        <v>0.46071358300105197</v>
      </c>
      <c r="G59" t="s">
        <v>33</v>
      </c>
      <c r="H59">
        <v>1</v>
      </c>
      <c r="I59">
        <v>57</v>
      </c>
      <c r="J59">
        <v>0</v>
      </c>
      <c r="K59">
        <v>57</v>
      </c>
      <c r="L59">
        <v>0</v>
      </c>
      <c r="M59">
        <v>93.186965707998695</v>
      </c>
      <c r="N59">
        <v>93.179000207997802</v>
      </c>
      <c r="O59">
        <v>93.186965707998695</v>
      </c>
      <c r="P59">
        <v>94.176034799999996</v>
      </c>
      <c r="Q59">
        <v>94.182042000000294</v>
      </c>
      <c r="R59">
        <v>94.645791207996794</v>
      </c>
      <c r="S59" t="s">
        <v>32</v>
      </c>
      <c r="T59">
        <v>0</v>
      </c>
      <c r="U59">
        <v>0.46071358300105197</v>
      </c>
      <c r="V59" t="s">
        <v>33</v>
      </c>
      <c r="W59">
        <v>1</v>
      </c>
      <c r="X59">
        <v>1</v>
      </c>
      <c r="Y59">
        <v>1</v>
      </c>
      <c r="Z59" t="s">
        <v>34</v>
      </c>
      <c r="AA59" t="s">
        <v>35</v>
      </c>
      <c r="AB59" t="s">
        <v>36</v>
      </c>
      <c r="AC59" t="s">
        <v>33</v>
      </c>
      <c r="AD59" t="s">
        <v>37</v>
      </c>
    </row>
    <row r="60" spans="1:31" x14ac:dyDescent="0.2">
      <c r="A60">
        <v>58</v>
      </c>
      <c r="B60">
        <v>0</v>
      </c>
      <c r="C60">
        <v>58</v>
      </c>
      <c r="D60" t="s">
        <v>32</v>
      </c>
      <c r="E60">
        <v>0</v>
      </c>
      <c r="F60">
        <v>0.90994345800208898</v>
      </c>
      <c r="G60" t="s">
        <v>33</v>
      </c>
      <c r="H60">
        <v>4</v>
      </c>
      <c r="I60">
        <v>58</v>
      </c>
      <c r="J60">
        <v>0</v>
      </c>
      <c r="K60">
        <v>58</v>
      </c>
      <c r="L60">
        <v>0</v>
      </c>
      <c r="M60">
        <v>94.659771665999799</v>
      </c>
      <c r="N60">
        <v>94.646601207998103</v>
      </c>
      <c r="O60">
        <v>94.659771665999799</v>
      </c>
      <c r="P60">
        <v>95.642781799999995</v>
      </c>
      <c r="Q60">
        <v>95.648631832998902</v>
      </c>
      <c r="R60">
        <v>96.562004200000004</v>
      </c>
      <c r="S60" t="s">
        <v>32</v>
      </c>
      <c r="T60">
        <v>0</v>
      </c>
      <c r="U60">
        <v>0.90994345800208898</v>
      </c>
      <c r="V60" t="s">
        <v>33</v>
      </c>
      <c r="W60">
        <v>4</v>
      </c>
      <c r="X60">
        <v>1</v>
      </c>
      <c r="Y60">
        <v>1</v>
      </c>
      <c r="Z60" t="s">
        <v>34</v>
      </c>
      <c r="AA60" t="s">
        <v>35</v>
      </c>
      <c r="AB60" t="s">
        <v>36</v>
      </c>
      <c r="AC60" t="s">
        <v>33</v>
      </c>
      <c r="AD60" t="s">
        <v>37</v>
      </c>
    </row>
    <row r="61" spans="1:31" x14ac:dyDescent="0.2">
      <c r="A61">
        <v>59</v>
      </c>
      <c r="B61">
        <v>0</v>
      </c>
      <c r="C61">
        <v>59</v>
      </c>
      <c r="D61" t="s">
        <v>32</v>
      </c>
      <c r="E61">
        <v>0</v>
      </c>
      <c r="F61">
        <v>0.66713383300157103</v>
      </c>
      <c r="G61" t="s">
        <v>33</v>
      </c>
      <c r="H61">
        <v>1</v>
      </c>
      <c r="I61">
        <v>59</v>
      </c>
      <c r="J61">
        <v>0</v>
      </c>
      <c r="K61">
        <v>59</v>
      </c>
      <c r="L61">
        <v>0</v>
      </c>
      <c r="M61">
        <v>96.571493082999893</v>
      </c>
      <c r="N61">
        <v>96.562670665996805</v>
      </c>
      <c r="O61">
        <v>96.571493082999893</v>
      </c>
      <c r="P61">
        <v>97.559596299999995</v>
      </c>
      <c r="Q61">
        <v>97.566072199999994</v>
      </c>
      <c r="R61">
        <v>98.228725707998805</v>
      </c>
      <c r="S61" t="s">
        <v>32</v>
      </c>
      <c r="T61">
        <v>0</v>
      </c>
      <c r="U61">
        <v>0.66713383300157103</v>
      </c>
      <c r="V61" t="s">
        <v>33</v>
      </c>
      <c r="W61">
        <v>1</v>
      </c>
      <c r="X61">
        <v>1</v>
      </c>
      <c r="Y61">
        <v>1</v>
      </c>
      <c r="Z61" t="s">
        <v>34</v>
      </c>
      <c r="AA61" t="s">
        <v>35</v>
      </c>
      <c r="AB61" t="s">
        <v>36</v>
      </c>
      <c r="AC61" t="s">
        <v>33</v>
      </c>
      <c r="AD61" t="s">
        <v>37</v>
      </c>
    </row>
    <row r="62" spans="1:31" x14ac:dyDescent="0.2">
      <c r="A62">
        <v>60</v>
      </c>
      <c r="B62">
        <v>0</v>
      </c>
      <c r="C62">
        <v>60</v>
      </c>
      <c r="D62" t="s">
        <v>32</v>
      </c>
      <c r="E62">
        <v>1</v>
      </c>
      <c r="F62">
        <v>0.88714558300125601</v>
      </c>
      <c r="G62" t="s">
        <v>33</v>
      </c>
      <c r="H62">
        <v>0</v>
      </c>
      <c r="I62">
        <v>60</v>
      </c>
      <c r="J62">
        <v>0</v>
      </c>
      <c r="K62">
        <v>60</v>
      </c>
      <c r="L62">
        <v>0</v>
      </c>
      <c r="M62">
        <v>98.237457290997497</v>
      </c>
      <c r="N62">
        <v>98.229292249998196</v>
      </c>
      <c r="O62">
        <v>98.237457290997497</v>
      </c>
      <c r="P62">
        <v>99.226558415997701</v>
      </c>
      <c r="Q62">
        <v>99.232787040997195</v>
      </c>
      <c r="R62">
        <v>100.11745612499701</v>
      </c>
      <c r="S62" t="s">
        <v>32</v>
      </c>
      <c r="T62">
        <v>1</v>
      </c>
      <c r="U62">
        <v>0.88714558300125601</v>
      </c>
      <c r="V62" t="s">
        <v>33</v>
      </c>
      <c r="W62">
        <v>0</v>
      </c>
      <c r="X62">
        <v>1</v>
      </c>
      <c r="Y62">
        <v>1</v>
      </c>
      <c r="Z62" t="s">
        <v>34</v>
      </c>
      <c r="AA62" t="s">
        <v>35</v>
      </c>
      <c r="AB62" t="s">
        <v>36</v>
      </c>
      <c r="AC62" t="s">
        <v>33</v>
      </c>
      <c r="AD62" t="s">
        <v>37</v>
      </c>
    </row>
    <row r="63" spans="1:31" x14ac:dyDescent="0.2">
      <c r="A63">
        <v>61</v>
      </c>
      <c r="B63">
        <v>0</v>
      </c>
      <c r="C63">
        <v>61</v>
      </c>
      <c r="D63" t="s">
        <v>38</v>
      </c>
      <c r="E63">
        <v>1</v>
      </c>
      <c r="F63">
        <v>0.57968766599878996</v>
      </c>
      <c r="G63" t="s">
        <v>33</v>
      </c>
      <c r="H63">
        <v>4</v>
      </c>
      <c r="I63">
        <v>61</v>
      </c>
      <c r="J63">
        <v>0</v>
      </c>
      <c r="K63">
        <v>61</v>
      </c>
      <c r="L63">
        <v>0</v>
      </c>
      <c r="M63">
        <v>100.126167374997</v>
      </c>
      <c r="N63">
        <v>100.11811683299599</v>
      </c>
      <c r="O63">
        <v>100.126167374997</v>
      </c>
      <c r="P63">
        <v>101.117072624998</v>
      </c>
      <c r="Q63">
        <v>101.117072624998</v>
      </c>
      <c r="R63">
        <v>101.701582333</v>
      </c>
      <c r="S63" t="s">
        <v>38</v>
      </c>
      <c r="T63">
        <v>1</v>
      </c>
      <c r="U63">
        <v>0.57968766599878996</v>
      </c>
      <c r="V63" t="s">
        <v>33</v>
      </c>
      <c r="W63">
        <v>4</v>
      </c>
      <c r="X63">
        <v>1</v>
      </c>
      <c r="Y63">
        <v>1</v>
      </c>
      <c r="Z63" t="s">
        <v>34</v>
      </c>
      <c r="AA63" t="s">
        <v>35</v>
      </c>
      <c r="AB63" t="s">
        <v>36</v>
      </c>
      <c r="AC63" t="s">
        <v>33</v>
      </c>
      <c r="AD63" t="s">
        <v>37</v>
      </c>
    </row>
    <row r="64" spans="1:31" x14ac:dyDescent="0.2">
      <c r="A64">
        <v>62</v>
      </c>
      <c r="B64">
        <v>0</v>
      </c>
      <c r="C64">
        <v>62</v>
      </c>
      <c r="D64" t="s">
        <v>38</v>
      </c>
      <c r="E64">
        <v>1</v>
      </c>
      <c r="F64">
        <v>0.69883900000058896</v>
      </c>
      <c r="G64" t="s">
        <v>33</v>
      </c>
      <c r="H64">
        <v>4</v>
      </c>
      <c r="I64">
        <v>62</v>
      </c>
      <c r="J64">
        <v>0</v>
      </c>
      <c r="K64">
        <v>62</v>
      </c>
      <c r="L64">
        <v>0</v>
      </c>
      <c r="M64">
        <v>101.709845082998</v>
      </c>
      <c r="N64">
        <v>101.702214290999</v>
      </c>
      <c r="O64">
        <v>101.709845082998</v>
      </c>
      <c r="P64">
        <v>102.710213582999</v>
      </c>
      <c r="Q64">
        <v>102.710213582999</v>
      </c>
      <c r="R64">
        <v>103.41251099999801</v>
      </c>
      <c r="S64" t="s">
        <v>38</v>
      </c>
      <c r="T64">
        <v>1</v>
      </c>
      <c r="U64">
        <v>0.69883900000058896</v>
      </c>
      <c r="V64" t="s">
        <v>33</v>
      </c>
      <c r="W64">
        <v>4</v>
      </c>
      <c r="X64">
        <v>1</v>
      </c>
      <c r="Y64">
        <v>1</v>
      </c>
      <c r="Z64" t="s">
        <v>34</v>
      </c>
      <c r="AA64" t="s">
        <v>35</v>
      </c>
      <c r="AB64" t="s">
        <v>36</v>
      </c>
      <c r="AC64" t="s">
        <v>33</v>
      </c>
      <c r="AD64" t="s">
        <v>37</v>
      </c>
    </row>
    <row r="65" spans="1:31" x14ac:dyDescent="0.2">
      <c r="A65">
        <v>63</v>
      </c>
      <c r="B65">
        <v>0</v>
      </c>
      <c r="C65">
        <v>63</v>
      </c>
      <c r="D65" t="s">
        <v>32</v>
      </c>
      <c r="E65">
        <v>1</v>
      </c>
      <c r="F65">
        <v>0.88980170799914005</v>
      </c>
      <c r="G65" t="s">
        <v>33</v>
      </c>
      <c r="H65">
        <v>0</v>
      </c>
      <c r="I65">
        <v>63</v>
      </c>
      <c r="J65">
        <v>0</v>
      </c>
      <c r="K65">
        <v>63</v>
      </c>
      <c r="L65">
        <v>0</v>
      </c>
      <c r="M65">
        <v>103.42683499999799</v>
      </c>
      <c r="N65">
        <v>103.41303695799699</v>
      </c>
      <c r="O65">
        <v>103.42683499999799</v>
      </c>
      <c r="P65">
        <v>104.41003170799701</v>
      </c>
      <c r="Q65">
        <v>104.41605991599801</v>
      </c>
      <c r="R65">
        <v>105.311939374998</v>
      </c>
      <c r="S65" t="s">
        <v>32</v>
      </c>
      <c r="T65">
        <v>1</v>
      </c>
      <c r="U65">
        <v>0.88980170799914005</v>
      </c>
      <c r="V65" t="s">
        <v>33</v>
      </c>
      <c r="W65">
        <v>0</v>
      </c>
      <c r="X65">
        <v>1</v>
      </c>
      <c r="Y65">
        <v>1</v>
      </c>
      <c r="Z65" t="s">
        <v>34</v>
      </c>
      <c r="AA65" t="s">
        <v>35</v>
      </c>
      <c r="AB65" t="s">
        <v>36</v>
      </c>
      <c r="AC65" t="s">
        <v>33</v>
      </c>
      <c r="AD65" t="s">
        <v>37</v>
      </c>
    </row>
    <row r="66" spans="1:31" x14ac:dyDescent="0.2">
      <c r="A66">
        <v>64</v>
      </c>
      <c r="B66">
        <v>0</v>
      </c>
      <c r="C66">
        <v>64</v>
      </c>
      <c r="D66" t="s">
        <v>32</v>
      </c>
      <c r="E66">
        <v>1</v>
      </c>
      <c r="F66">
        <v>0.51768208199791799</v>
      </c>
      <c r="G66" t="s">
        <v>33</v>
      </c>
      <c r="H66">
        <v>0</v>
      </c>
      <c r="I66">
        <v>64</v>
      </c>
      <c r="J66">
        <v>0</v>
      </c>
      <c r="K66">
        <v>64</v>
      </c>
      <c r="L66">
        <v>0</v>
      </c>
      <c r="M66">
        <v>105.320224707997</v>
      </c>
      <c r="N66">
        <v>105.312405415999</v>
      </c>
      <c r="O66">
        <v>105.320224707997</v>
      </c>
      <c r="P66">
        <v>106.310251582999</v>
      </c>
      <c r="Q66">
        <v>106.316207332998</v>
      </c>
      <c r="R66">
        <v>106.835192999998</v>
      </c>
      <c r="S66" t="s">
        <v>32</v>
      </c>
      <c r="T66">
        <v>1</v>
      </c>
      <c r="U66">
        <v>0.51768208199791799</v>
      </c>
      <c r="V66" t="s">
        <v>33</v>
      </c>
      <c r="W66">
        <v>0</v>
      </c>
      <c r="X66">
        <v>1</v>
      </c>
      <c r="Y66">
        <v>1</v>
      </c>
      <c r="Z66" t="s">
        <v>34</v>
      </c>
      <c r="AA66" t="s">
        <v>35</v>
      </c>
      <c r="AB66" t="s">
        <v>36</v>
      </c>
      <c r="AC66" t="s">
        <v>33</v>
      </c>
      <c r="AD66" t="s">
        <v>37</v>
      </c>
    </row>
    <row r="67" spans="1:31" x14ac:dyDescent="0.2">
      <c r="A67">
        <v>65</v>
      </c>
      <c r="B67">
        <v>0</v>
      </c>
      <c r="C67">
        <v>65</v>
      </c>
      <c r="D67" t="s">
        <v>32</v>
      </c>
      <c r="E67">
        <v>1</v>
      </c>
      <c r="F67">
        <v>0.49719958199784697</v>
      </c>
      <c r="G67" t="s">
        <v>33</v>
      </c>
      <c r="H67">
        <v>0</v>
      </c>
      <c r="I67">
        <v>65</v>
      </c>
      <c r="J67">
        <v>0</v>
      </c>
      <c r="K67">
        <v>65</v>
      </c>
      <c r="L67">
        <v>0</v>
      </c>
      <c r="M67">
        <v>106.860185</v>
      </c>
      <c r="O67">
        <v>106.835757</v>
      </c>
      <c r="P67">
        <v>106.860185</v>
      </c>
      <c r="Q67">
        <v>107.83371658299799</v>
      </c>
      <c r="R67">
        <v>107.848647957998</v>
      </c>
      <c r="S67">
        <v>108.334320582998</v>
      </c>
      <c r="T67" t="s">
        <v>32</v>
      </c>
      <c r="U67">
        <v>1</v>
      </c>
      <c r="V67">
        <v>0.49719958199784697</v>
      </c>
      <c r="W67" t="s">
        <v>33</v>
      </c>
      <c r="X67">
        <v>0</v>
      </c>
      <c r="Y67">
        <v>1</v>
      </c>
      <c r="Z67">
        <v>1</v>
      </c>
      <c r="AA67" t="s">
        <v>34</v>
      </c>
      <c r="AB67" t="s">
        <v>35</v>
      </c>
      <c r="AC67" t="s">
        <v>36</v>
      </c>
      <c r="AD67" t="s">
        <v>33</v>
      </c>
      <c r="AE67" t="s">
        <v>37</v>
      </c>
    </row>
    <row r="68" spans="1:31" x14ac:dyDescent="0.2">
      <c r="A68">
        <v>66</v>
      </c>
      <c r="B68">
        <v>0</v>
      </c>
      <c r="C68">
        <v>66</v>
      </c>
      <c r="D68" t="s">
        <v>38</v>
      </c>
      <c r="E68">
        <v>1</v>
      </c>
      <c r="F68">
        <v>0.69897312499961095</v>
      </c>
      <c r="G68" t="s">
        <v>33</v>
      </c>
      <c r="H68">
        <v>4</v>
      </c>
      <c r="I68">
        <v>66</v>
      </c>
      <c r="J68">
        <v>0</v>
      </c>
      <c r="K68">
        <v>66</v>
      </c>
      <c r="L68">
        <v>0</v>
      </c>
      <c r="M68">
        <v>108.34278049999899</v>
      </c>
      <c r="N68">
        <v>108.334841707997</v>
      </c>
      <c r="O68">
        <v>108.34278049999899</v>
      </c>
      <c r="P68">
        <v>109.334047082997</v>
      </c>
      <c r="Q68">
        <v>109.334047082997</v>
      </c>
      <c r="R68">
        <v>110.04638058299599</v>
      </c>
      <c r="S68" t="s">
        <v>38</v>
      </c>
      <c r="T68">
        <v>1</v>
      </c>
      <c r="U68">
        <v>0.69897312499961095</v>
      </c>
      <c r="V68" t="s">
        <v>33</v>
      </c>
      <c r="W68">
        <v>4</v>
      </c>
      <c r="X68">
        <v>1</v>
      </c>
      <c r="Y68">
        <v>1</v>
      </c>
      <c r="Z68" t="s">
        <v>34</v>
      </c>
      <c r="AA68" t="s">
        <v>35</v>
      </c>
      <c r="AB68" t="s">
        <v>36</v>
      </c>
      <c r="AC68" t="s">
        <v>33</v>
      </c>
      <c r="AD68" t="s">
        <v>37</v>
      </c>
    </row>
    <row r="69" spans="1:31" x14ac:dyDescent="0.2">
      <c r="A69">
        <v>67</v>
      </c>
      <c r="B69">
        <v>0</v>
      </c>
      <c r="C69">
        <v>67</v>
      </c>
      <c r="D69" t="s">
        <v>38</v>
      </c>
      <c r="E69">
        <v>0</v>
      </c>
      <c r="F69">
        <v>0.49195979100113602</v>
      </c>
      <c r="G69" t="s">
        <v>33</v>
      </c>
      <c r="H69">
        <v>0</v>
      </c>
      <c r="I69">
        <v>67</v>
      </c>
      <c r="J69">
        <v>0</v>
      </c>
      <c r="K69">
        <v>67</v>
      </c>
      <c r="L69">
        <v>0</v>
      </c>
      <c r="M69">
        <v>110.060451833</v>
      </c>
      <c r="N69">
        <v>110.047143040999</v>
      </c>
      <c r="O69">
        <v>110.060451833</v>
      </c>
      <c r="P69">
        <v>111.043977499997</v>
      </c>
      <c r="Q69">
        <v>111.049884332998</v>
      </c>
      <c r="R69">
        <v>111.546608165997</v>
      </c>
      <c r="S69" t="s">
        <v>38</v>
      </c>
      <c r="T69">
        <v>0</v>
      </c>
      <c r="U69">
        <v>0.49195979100113602</v>
      </c>
      <c r="V69" t="s">
        <v>33</v>
      </c>
      <c r="W69">
        <v>0</v>
      </c>
      <c r="X69">
        <v>1</v>
      </c>
      <c r="Y69">
        <v>1</v>
      </c>
      <c r="Z69" t="s">
        <v>34</v>
      </c>
      <c r="AA69" t="s">
        <v>35</v>
      </c>
      <c r="AB69" t="s">
        <v>36</v>
      </c>
      <c r="AC69" t="s">
        <v>33</v>
      </c>
      <c r="AD69" t="s">
        <v>37</v>
      </c>
    </row>
    <row r="70" spans="1:31" x14ac:dyDescent="0.2">
      <c r="A70">
        <v>68</v>
      </c>
      <c r="B70">
        <v>0</v>
      </c>
      <c r="C70">
        <v>68</v>
      </c>
      <c r="D70" t="s">
        <v>38</v>
      </c>
      <c r="E70">
        <v>1</v>
      </c>
      <c r="F70">
        <v>0.497369916000025</v>
      </c>
      <c r="G70" t="s">
        <v>33</v>
      </c>
      <c r="H70">
        <v>3</v>
      </c>
      <c r="I70">
        <v>68</v>
      </c>
      <c r="J70">
        <v>0</v>
      </c>
      <c r="K70">
        <v>68</v>
      </c>
      <c r="L70">
        <v>0</v>
      </c>
      <c r="M70">
        <v>111.560294415998</v>
      </c>
      <c r="N70">
        <v>111.54743099999899</v>
      </c>
      <c r="O70">
        <v>111.560294415998</v>
      </c>
      <c r="P70">
        <v>112.54374054099701</v>
      </c>
      <c r="Q70">
        <v>112.54947458300001</v>
      </c>
      <c r="R70">
        <v>113.04562704099899</v>
      </c>
      <c r="S70" t="s">
        <v>38</v>
      </c>
      <c r="T70">
        <v>1</v>
      </c>
      <c r="U70">
        <v>0.497369916000025</v>
      </c>
      <c r="V70" t="s">
        <v>33</v>
      </c>
      <c r="W70">
        <v>3</v>
      </c>
      <c r="X70">
        <v>1</v>
      </c>
      <c r="Y70">
        <v>1</v>
      </c>
      <c r="Z70" t="s">
        <v>34</v>
      </c>
      <c r="AA70" t="s">
        <v>35</v>
      </c>
      <c r="AB70" t="s">
        <v>36</v>
      </c>
      <c r="AC70" t="s">
        <v>33</v>
      </c>
      <c r="AD70" t="s">
        <v>37</v>
      </c>
    </row>
    <row r="71" spans="1:31" x14ac:dyDescent="0.2">
      <c r="A71">
        <v>69</v>
      </c>
      <c r="B71">
        <v>0</v>
      </c>
      <c r="C71">
        <v>69</v>
      </c>
      <c r="D71" t="s">
        <v>38</v>
      </c>
      <c r="E71">
        <v>1</v>
      </c>
      <c r="F71">
        <v>0.84289192000000002</v>
      </c>
      <c r="G71" t="s">
        <v>33</v>
      </c>
      <c r="H71">
        <v>-2</v>
      </c>
      <c r="I71">
        <v>69</v>
      </c>
      <c r="J71">
        <v>0</v>
      </c>
      <c r="K71">
        <v>69</v>
      </c>
      <c r="L71">
        <v>0</v>
      </c>
      <c r="M71">
        <v>113.054696957999</v>
      </c>
      <c r="N71">
        <v>113.046270707996</v>
      </c>
      <c r="O71">
        <v>113.054696957999</v>
      </c>
      <c r="P71">
        <v>114.044052165998</v>
      </c>
      <c r="Q71">
        <v>114.050670957996</v>
      </c>
      <c r="R71">
        <v>114.89602929099701</v>
      </c>
      <c r="S71" t="s">
        <v>38</v>
      </c>
      <c r="T71">
        <v>1</v>
      </c>
      <c r="U71">
        <v>0.84289192000000002</v>
      </c>
      <c r="V71" t="s">
        <v>33</v>
      </c>
      <c r="W71">
        <v>-2</v>
      </c>
      <c r="X71">
        <v>1</v>
      </c>
      <c r="Y71">
        <v>1</v>
      </c>
      <c r="Z71" t="s">
        <v>34</v>
      </c>
      <c r="AA71" t="s">
        <v>35</v>
      </c>
      <c r="AB71" t="s">
        <v>36</v>
      </c>
      <c r="AC71" t="s">
        <v>33</v>
      </c>
      <c r="AD71" t="s">
        <v>37</v>
      </c>
    </row>
    <row r="72" spans="1:31" x14ac:dyDescent="0.2">
      <c r="A72">
        <v>70</v>
      </c>
      <c r="B72">
        <v>0</v>
      </c>
      <c r="C72">
        <v>70</v>
      </c>
      <c r="D72" t="s">
        <v>32</v>
      </c>
      <c r="E72">
        <v>0</v>
      </c>
      <c r="F72">
        <v>0.36662262000000001</v>
      </c>
      <c r="G72" t="s">
        <v>33</v>
      </c>
      <c r="H72">
        <v>1</v>
      </c>
      <c r="I72">
        <v>70</v>
      </c>
      <c r="J72">
        <v>0</v>
      </c>
      <c r="K72">
        <v>70</v>
      </c>
      <c r="L72">
        <v>0</v>
      </c>
      <c r="M72">
        <v>114.905472249996</v>
      </c>
      <c r="N72">
        <v>114.896691665999</v>
      </c>
      <c r="O72">
        <v>114.905472249996</v>
      </c>
      <c r="P72">
        <v>115.89348629099899</v>
      </c>
      <c r="Q72">
        <v>115.899176625</v>
      </c>
      <c r="R72">
        <v>116.26306520799599</v>
      </c>
      <c r="S72" t="s">
        <v>32</v>
      </c>
      <c r="T72">
        <v>0</v>
      </c>
      <c r="U72">
        <v>0.36662262000000001</v>
      </c>
      <c r="V72" t="s">
        <v>33</v>
      </c>
      <c r="W72">
        <v>1</v>
      </c>
      <c r="X72">
        <v>1</v>
      </c>
      <c r="Y72">
        <v>1</v>
      </c>
      <c r="Z72" t="s">
        <v>34</v>
      </c>
      <c r="AA72" t="s">
        <v>35</v>
      </c>
      <c r="AB72" t="s">
        <v>36</v>
      </c>
      <c r="AC72" t="s">
        <v>33</v>
      </c>
      <c r="AD72" t="s">
        <v>37</v>
      </c>
    </row>
    <row r="73" spans="1:31" x14ac:dyDescent="0.2">
      <c r="A73">
        <v>71</v>
      </c>
      <c r="B73">
        <v>0</v>
      </c>
      <c r="C73">
        <v>71</v>
      </c>
      <c r="D73" t="s">
        <v>32</v>
      </c>
      <c r="E73">
        <v>0</v>
      </c>
      <c r="F73">
        <v>0.37264341600166501</v>
      </c>
      <c r="G73" t="s">
        <v>33</v>
      </c>
      <c r="H73">
        <v>-5</v>
      </c>
      <c r="I73">
        <v>71</v>
      </c>
      <c r="J73">
        <v>0</v>
      </c>
      <c r="K73">
        <v>71</v>
      </c>
      <c r="L73">
        <v>0</v>
      </c>
      <c r="M73">
        <v>116.27222358299601</v>
      </c>
      <c r="N73">
        <v>116.263813833</v>
      </c>
      <c r="O73">
        <v>116.27222358299601</v>
      </c>
      <c r="P73">
        <v>117.260434832998</v>
      </c>
      <c r="Q73">
        <v>117.266494207997</v>
      </c>
      <c r="R73">
        <v>117.635111290997</v>
      </c>
      <c r="S73" t="s">
        <v>32</v>
      </c>
      <c r="T73">
        <v>0</v>
      </c>
      <c r="U73">
        <v>0.37264341600166501</v>
      </c>
      <c r="V73" t="s">
        <v>33</v>
      </c>
      <c r="W73">
        <v>-5</v>
      </c>
      <c r="X73">
        <v>1</v>
      </c>
      <c r="Y73">
        <v>1</v>
      </c>
      <c r="Z73" t="s">
        <v>34</v>
      </c>
      <c r="AA73" t="s">
        <v>35</v>
      </c>
      <c r="AB73" t="s">
        <v>36</v>
      </c>
      <c r="AC73" t="s">
        <v>33</v>
      </c>
      <c r="AD73" t="s">
        <v>37</v>
      </c>
    </row>
    <row r="74" spans="1:31" x14ac:dyDescent="0.2">
      <c r="A74">
        <v>72</v>
      </c>
      <c r="B74">
        <v>0</v>
      </c>
      <c r="C74">
        <v>72</v>
      </c>
      <c r="D74" t="s">
        <v>32</v>
      </c>
      <c r="E74">
        <v>0</v>
      </c>
      <c r="F74">
        <v>0.56555091999999996</v>
      </c>
      <c r="G74" t="s">
        <v>33</v>
      </c>
      <c r="H74">
        <v>-2</v>
      </c>
      <c r="I74">
        <v>72</v>
      </c>
      <c r="J74">
        <v>0</v>
      </c>
      <c r="K74">
        <v>72</v>
      </c>
      <c r="L74">
        <v>0</v>
      </c>
      <c r="M74">
        <v>117.644204790998</v>
      </c>
      <c r="N74">
        <v>117.63571529099799</v>
      </c>
      <c r="O74">
        <v>117.644204790998</v>
      </c>
      <c r="P74">
        <v>118.634486290997</v>
      </c>
      <c r="Q74">
        <v>118.634486290997</v>
      </c>
      <c r="R74">
        <v>119.21289558299701</v>
      </c>
      <c r="S74" t="s">
        <v>32</v>
      </c>
      <c r="T74">
        <v>0</v>
      </c>
      <c r="U74">
        <v>0.56555091999999996</v>
      </c>
      <c r="V74" t="s">
        <v>33</v>
      </c>
      <c r="W74">
        <v>-2</v>
      </c>
      <c r="X74">
        <v>1</v>
      </c>
      <c r="Y74">
        <v>1</v>
      </c>
      <c r="Z74" t="s">
        <v>34</v>
      </c>
      <c r="AA74" t="s">
        <v>35</v>
      </c>
      <c r="AB74" t="s">
        <v>36</v>
      </c>
      <c r="AC74" t="s">
        <v>33</v>
      </c>
      <c r="AD74" t="s">
        <v>37</v>
      </c>
    </row>
    <row r="75" spans="1:31" x14ac:dyDescent="0.2">
      <c r="A75">
        <v>73</v>
      </c>
      <c r="B75">
        <v>0</v>
      </c>
      <c r="C75">
        <v>73</v>
      </c>
      <c r="D75" t="s">
        <v>38</v>
      </c>
      <c r="E75">
        <v>1</v>
      </c>
      <c r="F75">
        <v>1.0464978739983</v>
      </c>
      <c r="G75" t="s">
        <v>33</v>
      </c>
      <c r="H75">
        <v>4</v>
      </c>
      <c r="I75">
        <v>73</v>
      </c>
      <c r="J75">
        <v>0</v>
      </c>
      <c r="K75">
        <v>73</v>
      </c>
      <c r="L75">
        <v>0</v>
      </c>
      <c r="M75">
        <v>119.221709999997</v>
      </c>
      <c r="N75">
        <v>119.213465415999</v>
      </c>
      <c r="O75">
        <v>119.221709999997</v>
      </c>
      <c r="P75">
        <v>120.210605540996</v>
      </c>
      <c r="Q75">
        <v>120.217144790996</v>
      </c>
      <c r="R75">
        <v>121.262238457999</v>
      </c>
      <c r="S75" t="s">
        <v>38</v>
      </c>
      <c r="T75">
        <v>1</v>
      </c>
      <c r="U75">
        <v>1.0464978739983</v>
      </c>
      <c r="V75" t="s">
        <v>33</v>
      </c>
      <c r="W75">
        <v>4</v>
      </c>
      <c r="X75">
        <v>1</v>
      </c>
      <c r="Y75">
        <v>1</v>
      </c>
      <c r="Z75" t="s">
        <v>34</v>
      </c>
      <c r="AA75" t="s">
        <v>35</v>
      </c>
      <c r="AB75" t="s">
        <v>36</v>
      </c>
      <c r="AC75" t="s">
        <v>33</v>
      </c>
      <c r="AD75" t="s">
        <v>37</v>
      </c>
    </row>
    <row r="76" spans="1:31" x14ac:dyDescent="0.2">
      <c r="A76">
        <v>74</v>
      </c>
      <c r="B76">
        <v>0</v>
      </c>
      <c r="C76">
        <v>74</v>
      </c>
      <c r="D76" t="s">
        <v>32</v>
      </c>
      <c r="E76">
        <v>1</v>
      </c>
      <c r="F76">
        <v>0.68836279099923503</v>
      </c>
      <c r="G76" t="s">
        <v>33</v>
      </c>
      <c r="H76">
        <v>0</v>
      </c>
      <c r="I76">
        <v>74</v>
      </c>
      <c r="J76">
        <v>0</v>
      </c>
      <c r="K76">
        <v>74</v>
      </c>
      <c r="L76">
        <v>0</v>
      </c>
      <c r="M76">
        <v>121.277751040997</v>
      </c>
      <c r="N76">
        <v>121.262725540997</v>
      </c>
      <c r="O76">
        <v>121.277751040997</v>
      </c>
      <c r="P76">
        <v>122.26076941599899</v>
      </c>
      <c r="Q76">
        <v>122.26646074999699</v>
      </c>
      <c r="R76">
        <v>122.951390790996</v>
      </c>
      <c r="S76" t="s">
        <v>32</v>
      </c>
      <c r="T76">
        <v>1</v>
      </c>
      <c r="U76">
        <v>0.68836279099923503</v>
      </c>
      <c r="V76" t="s">
        <v>33</v>
      </c>
      <c r="W76">
        <v>0</v>
      </c>
      <c r="X76">
        <v>1</v>
      </c>
      <c r="Y76">
        <v>1</v>
      </c>
      <c r="Z76" t="s">
        <v>34</v>
      </c>
      <c r="AA76" t="s">
        <v>35</v>
      </c>
      <c r="AB76" t="s">
        <v>36</v>
      </c>
      <c r="AC76" t="s">
        <v>33</v>
      </c>
      <c r="AD76" t="s">
        <v>37</v>
      </c>
    </row>
    <row r="77" spans="1:31" x14ac:dyDescent="0.2">
      <c r="A77">
        <v>75</v>
      </c>
      <c r="B77">
        <v>0</v>
      </c>
      <c r="C77">
        <v>75</v>
      </c>
      <c r="D77" t="s">
        <v>32</v>
      </c>
      <c r="E77">
        <v>1</v>
      </c>
      <c r="F77">
        <v>0.45131929100170898</v>
      </c>
      <c r="G77" t="s">
        <v>33</v>
      </c>
      <c r="H77">
        <v>0</v>
      </c>
      <c r="I77">
        <v>75</v>
      </c>
      <c r="J77">
        <v>0</v>
      </c>
      <c r="K77">
        <v>75</v>
      </c>
      <c r="L77">
        <v>0</v>
      </c>
      <c r="M77">
        <v>122.959597</v>
      </c>
      <c r="O77">
        <v>122.951791999999</v>
      </c>
      <c r="P77">
        <v>122.959597</v>
      </c>
      <c r="Q77">
        <v>123.943802999998</v>
      </c>
      <c r="R77">
        <v>123.949772457999</v>
      </c>
      <c r="S77">
        <v>124.401217540998</v>
      </c>
      <c r="T77" t="s">
        <v>32</v>
      </c>
      <c r="U77">
        <v>1</v>
      </c>
      <c r="V77">
        <v>0.45131929100170898</v>
      </c>
      <c r="W77" t="s">
        <v>33</v>
      </c>
      <c r="X77">
        <v>0</v>
      </c>
      <c r="Y77">
        <v>1</v>
      </c>
      <c r="Z77">
        <v>1</v>
      </c>
      <c r="AA77" t="s">
        <v>34</v>
      </c>
      <c r="AB77" t="s">
        <v>35</v>
      </c>
      <c r="AC77" t="s">
        <v>36</v>
      </c>
      <c r="AD77" t="s">
        <v>33</v>
      </c>
      <c r="AE77" t="s">
        <v>37</v>
      </c>
    </row>
    <row r="78" spans="1:31" x14ac:dyDescent="0.2">
      <c r="A78">
        <v>76</v>
      </c>
      <c r="B78">
        <v>0</v>
      </c>
      <c r="C78">
        <v>76</v>
      </c>
      <c r="D78" t="s">
        <v>32</v>
      </c>
      <c r="E78">
        <v>0</v>
      </c>
      <c r="F78">
        <v>0.308074915999895</v>
      </c>
      <c r="G78" t="s">
        <v>33</v>
      </c>
      <c r="H78">
        <v>-4</v>
      </c>
      <c r="I78">
        <v>76</v>
      </c>
      <c r="J78">
        <v>0</v>
      </c>
      <c r="K78">
        <v>76</v>
      </c>
      <c r="L78">
        <v>0</v>
      </c>
      <c r="M78">
        <v>124.409632457998</v>
      </c>
      <c r="N78">
        <v>124.401734666</v>
      </c>
      <c r="O78">
        <v>124.409632457998</v>
      </c>
      <c r="P78">
        <v>125.40209291599901</v>
      </c>
      <c r="Q78">
        <v>125.40209291599901</v>
      </c>
      <c r="R78">
        <v>125.712731540999</v>
      </c>
      <c r="S78" t="s">
        <v>32</v>
      </c>
      <c r="T78">
        <v>0</v>
      </c>
      <c r="U78">
        <v>0.308074915999895</v>
      </c>
      <c r="V78" t="s">
        <v>33</v>
      </c>
      <c r="W78">
        <v>-4</v>
      </c>
      <c r="X78">
        <v>1</v>
      </c>
      <c r="Y78">
        <v>1</v>
      </c>
      <c r="Z78" t="s">
        <v>34</v>
      </c>
      <c r="AA78" t="s">
        <v>35</v>
      </c>
      <c r="AB78" t="s">
        <v>36</v>
      </c>
      <c r="AC78" t="s">
        <v>33</v>
      </c>
      <c r="AD78" t="s">
        <v>37</v>
      </c>
    </row>
    <row r="79" spans="1:31" x14ac:dyDescent="0.2">
      <c r="A79">
        <v>77</v>
      </c>
      <c r="B79">
        <v>0</v>
      </c>
      <c r="C79">
        <v>77</v>
      </c>
      <c r="D79" t="s">
        <v>32</v>
      </c>
      <c r="E79">
        <v>1</v>
      </c>
      <c r="F79">
        <v>0.31248908300040001</v>
      </c>
      <c r="G79" t="s">
        <v>33</v>
      </c>
      <c r="H79">
        <v>0</v>
      </c>
      <c r="I79">
        <v>77</v>
      </c>
      <c r="J79">
        <v>0</v>
      </c>
      <c r="K79">
        <v>77</v>
      </c>
      <c r="L79">
        <v>0</v>
      </c>
      <c r="M79">
        <v>125.72172687499901</v>
      </c>
      <c r="N79">
        <v>125.71331237499901</v>
      </c>
      <c r="O79">
        <v>125.72172687499901</v>
      </c>
      <c r="P79">
        <v>126.71079170799899</v>
      </c>
      <c r="Q79">
        <v>126.716704999998</v>
      </c>
      <c r="R79">
        <v>127.03025549999801</v>
      </c>
      <c r="S79" t="s">
        <v>32</v>
      </c>
      <c r="T79">
        <v>1</v>
      </c>
      <c r="U79">
        <v>0.31248908300040001</v>
      </c>
      <c r="V79" t="s">
        <v>33</v>
      </c>
      <c r="W79">
        <v>0</v>
      </c>
      <c r="X79">
        <v>1</v>
      </c>
      <c r="Y79">
        <v>1</v>
      </c>
      <c r="Z79" t="s">
        <v>34</v>
      </c>
      <c r="AA79" t="s">
        <v>35</v>
      </c>
      <c r="AB79" t="s">
        <v>36</v>
      </c>
      <c r="AC79" t="s">
        <v>33</v>
      </c>
      <c r="AD79" t="s">
        <v>37</v>
      </c>
    </row>
    <row r="80" spans="1:31" x14ac:dyDescent="0.2">
      <c r="A80">
        <v>78</v>
      </c>
      <c r="B80">
        <v>0</v>
      </c>
      <c r="C80">
        <v>78</v>
      </c>
      <c r="D80" t="s">
        <v>32</v>
      </c>
      <c r="E80">
        <v>0</v>
      </c>
      <c r="F80">
        <v>0.26352904099985602</v>
      </c>
      <c r="G80" t="s">
        <v>33</v>
      </c>
      <c r="H80">
        <v>-4</v>
      </c>
      <c r="I80">
        <v>78</v>
      </c>
      <c r="J80">
        <v>0</v>
      </c>
      <c r="K80">
        <v>78</v>
      </c>
      <c r="L80">
        <v>0</v>
      </c>
      <c r="M80">
        <v>127.044220207997</v>
      </c>
      <c r="N80">
        <v>127.03097745799801</v>
      </c>
      <c r="O80">
        <v>127.044220207997</v>
      </c>
      <c r="P80">
        <v>128.02756908299801</v>
      </c>
      <c r="Q80">
        <v>128.03353904100001</v>
      </c>
      <c r="R80">
        <v>128.296152832997</v>
      </c>
      <c r="S80" t="s">
        <v>32</v>
      </c>
      <c r="T80">
        <v>0</v>
      </c>
      <c r="U80">
        <v>0.26352904099985602</v>
      </c>
      <c r="V80" t="s">
        <v>33</v>
      </c>
      <c r="W80">
        <v>-4</v>
      </c>
      <c r="X80">
        <v>1</v>
      </c>
      <c r="Y80">
        <v>1</v>
      </c>
      <c r="Z80" t="s">
        <v>34</v>
      </c>
      <c r="AA80" t="s">
        <v>35</v>
      </c>
      <c r="AB80" t="s">
        <v>36</v>
      </c>
      <c r="AC80" t="s">
        <v>33</v>
      </c>
      <c r="AD80" t="s">
        <v>37</v>
      </c>
    </row>
    <row r="81" spans="1:30" x14ac:dyDescent="0.2">
      <c r="A81">
        <v>79</v>
      </c>
      <c r="B81">
        <v>0</v>
      </c>
      <c r="C81">
        <v>79</v>
      </c>
      <c r="D81" t="s">
        <v>38</v>
      </c>
      <c r="E81">
        <v>1</v>
      </c>
      <c r="F81">
        <v>0.35287691600024101</v>
      </c>
      <c r="G81" t="s">
        <v>33</v>
      </c>
      <c r="H81">
        <v>3</v>
      </c>
      <c r="I81">
        <v>79</v>
      </c>
      <c r="J81">
        <v>0</v>
      </c>
      <c r="K81">
        <v>79</v>
      </c>
      <c r="L81">
        <v>0</v>
      </c>
      <c r="M81">
        <v>128.30487041599901</v>
      </c>
      <c r="N81">
        <v>128.296808999999</v>
      </c>
      <c r="O81">
        <v>128.30487041599901</v>
      </c>
      <c r="P81">
        <v>129.294265832999</v>
      </c>
      <c r="Q81">
        <v>129.29995587499701</v>
      </c>
      <c r="R81">
        <v>129.65139104099899</v>
      </c>
      <c r="S81" t="s">
        <v>38</v>
      </c>
      <c r="T81">
        <v>1</v>
      </c>
      <c r="U81">
        <v>0.35287691600024101</v>
      </c>
      <c r="V81" t="s">
        <v>33</v>
      </c>
      <c r="W81">
        <v>3</v>
      </c>
      <c r="X81">
        <v>1</v>
      </c>
      <c r="Y81">
        <v>1</v>
      </c>
      <c r="Z81" t="s">
        <v>34</v>
      </c>
      <c r="AA81" t="s">
        <v>35</v>
      </c>
      <c r="AB81" t="s">
        <v>36</v>
      </c>
      <c r="AC81" t="s">
        <v>33</v>
      </c>
      <c r="AD81" t="s">
        <v>37</v>
      </c>
    </row>
    <row r="82" spans="1:30" x14ac:dyDescent="0.2">
      <c r="A82">
        <v>80</v>
      </c>
      <c r="B82">
        <v>0</v>
      </c>
      <c r="C82">
        <v>80</v>
      </c>
      <c r="D82" t="s">
        <v>38</v>
      </c>
      <c r="E82">
        <v>1</v>
      </c>
      <c r="F82">
        <v>0.357246915998985</v>
      </c>
      <c r="G82" t="s">
        <v>33</v>
      </c>
      <c r="H82">
        <v>-2</v>
      </c>
      <c r="I82">
        <v>80</v>
      </c>
      <c r="J82">
        <v>0</v>
      </c>
      <c r="K82">
        <v>80</v>
      </c>
      <c r="L82">
        <v>0</v>
      </c>
      <c r="M82">
        <v>129.66070762499999</v>
      </c>
      <c r="N82">
        <v>129.65188175</v>
      </c>
      <c r="O82">
        <v>129.66070762499999</v>
      </c>
      <c r="P82">
        <v>130.652989999998</v>
      </c>
      <c r="Q82">
        <v>130.652989999998</v>
      </c>
      <c r="R82">
        <v>131.01380349999801</v>
      </c>
      <c r="S82" t="s">
        <v>38</v>
      </c>
      <c r="T82">
        <v>1</v>
      </c>
      <c r="U82">
        <v>0.357246915998985</v>
      </c>
      <c r="V82" t="s">
        <v>33</v>
      </c>
      <c r="W82">
        <v>-2</v>
      </c>
      <c r="X82">
        <v>1</v>
      </c>
      <c r="Y82">
        <v>1</v>
      </c>
      <c r="Z82" t="s">
        <v>34</v>
      </c>
      <c r="AA82" t="s">
        <v>35</v>
      </c>
      <c r="AB82" t="s">
        <v>36</v>
      </c>
      <c r="AC82" t="s">
        <v>33</v>
      </c>
      <c r="AD82" t="s">
        <v>37</v>
      </c>
    </row>
    <row r="83" spans="1:30" x14ac:dyDescent="0.2">
      <c r="A83">
        <v>81</v>
      </c>
      <c r="B83">
        <v>0</v>
      </c>
      <c r="C83">
        <v>81</v>
      </c>
      <c r="D83" t="s">
        <v>38</v>
      </c>
      <c r="E83">
        <v>0</v>
      </c>
      <c r="F83">
        <v>0.25519574899954001</v>
      </c>
      <c r="G83" t="s">
        <v>33</v>
      </c>
      <c r="H83">
        <v>0</v>
      </c>
      <c r="I83">
        <v>81</v>
      </c>
      <c r="J83">
        <v>0</v>
      </c>
      <c r="K83">
        <v>81</v>
      </c>
      <c r="L83">
        <v>0</v>
      </c>
      <c r="M83">
        <v>131.02303904099901</v>
      </c>
      <c r="N83">
        <v>131.01448849999699</v>
      </c>
      <c r="O83">
        <v>131.02303904099901</v>
      </c>
      <c r="P83">
        <v>132.01102904099699</v>
      </c>
      <c r="Q83">
        <v>132.01695487499799</v>
      </c>
      <c r="R83">
        <v>132.268375332998</v>
      </c>
      <c r="S83" t="s">
        <v>38</v>
      </c>
      <c r="T83">
        <v>0</v>
      </c>
      <c r="U83">
        <v>0.25519574899954001</v>
      </c>
      <c r="V83" t="s">
        <v>33</v>
      </c>
      <c r="W83">
        <v>0</v>
      </c>
      <c r="X83">
        <v>1</v>
      </c>
      <c r="Y83">
        <v>1</v>
      </c>
      <c r="Z83" t="s">
        <v>34</v>
      </c>
      <c r="AA83" t="s">
        <v>35</v>
      </c>
      <c r="AB83" t="s">
        <v>36</v>
      </c>
      <c r="AC83" t="s">
        <v>33</v>
      </c>
      <c r="AD83" t="s">
        <v>37</v>
      </c>
    </row>
    <row r="84" spans="1:30" x14ac:dyDescent="0.2">
      <c r="A84">
        <v>82</v>
      </c>
      <c r="B84">
        <v>0</v>
      </c>
      <c r="C84">
        <v>82</v>
      </c>
      <c r="D84" t="s">
        <v>38</v>
      </c>
      <c r="E84">
        <v>0</v>
      </c>
      <c r="F84">
        <v>0.38709020800160898</v>
      </c>
      <c r="G84" t="s">
        <v>33</v>
      </c>
      <c r="H84">
        <v>0</v>
      </c>
      <c r="I84">
        <v>82</v>
      </c>
      <c r="J84">
        <v>0</v>
      </c>
      <c r="K84">
        <v>82</v>
      </c>
      <c r="L84">
        <v>0</v>
      </c>
      <c r="M84">
        <v>132.276976832999</v>
      </c>
      <c r="N84">
        <v>132.26882341599699</v>
      </c>
      <c r="O84">
        <v>132.276976832999</v>
      </c>
      <c r="P84">
        <v>133.27006458299701</v>
      </c>
      <c r="Q84">
        <v>133.27006458299701</v>
      </c>
      <c r="R84">
        <v>133.66339120799901</v>
      </c>
      <c r="S84" t="s">
        <v>38</v>
      </c>
      <c r="T84">
        <v>0</v>
      </c>
      <c r="U84">
        <v>0.38709020800160898</v>
      </c>
      <c r="V84" t="s">
        <v>33</v>
      </c>
      <c r="W84">
        <v>0</v>
      </c>
      <c r="X84">
        <v>1</v>
      </c>
      <c r="Y84">
        <v>1</v>
      </c>
      <c r="Z84" t="s">
        <v>34</v>
      </c>
      <c r="AA84" t="s">
        <v>35</v>
      </c>
      <c r="AB84" t="s">
        <v>36</v>
      </c>
      <c r="AC84" t="s">
        <v>33</v>
      </c>
      <c r="AD84" t="s">
        <v>37</v>
      </c>
    </row>
    <row r="85" spans="1:30" x14ac:dyDescent="0.2">
      <c r="A85">
        <v>83</v>
      </c>
      <c r="B85">
        <v>0</v>
      </c>
      <c r="C85">
        <v>83</v>
      </c>
      <c r="D85" t="s">
        <v>38</v>
      </c>
      <c r="E85">
        <v>1</v>
      </c>
      <c r="F85">
        <v>0.383310623998113</v>
      </c>
      <c r="G85" t="s">
        <v>33</v>
      </c>
      <c r="H85">
        <v>3</v>
      </c>
      <c r="I85">
        <v>83</v>
      </c>
      <c r="J85">
        <v>0</v>
      </c>
      <c r="K85">
        <v>83</v>
      </c>
      <c r="L85">
        <v>0</v>
      </c>
      <c r="M85">
        <v>133.67815174999799</v>
      </c>
      <c r="N85">
        <v>133.664031832999</v>
      </c>
      <c r="O85">
        <v>133.67815174999799</v>
      </c>
      <c r="P85">
        <v>134.66111216599799</v>
      </c>
      <c r="Q85">
        <v>134.66754924999901</v>
      </c>
      <c r="R85">
        <v>135.04719437499801</v>
      </c>
      <c r="S85" t="s">
        <v>38</v>
      </c>
      <c r="T85">
        <v>1</v>
      </c>
      <c r="U85">
        <v>0.383310623998113</v>
      </c>
      <c r="V85" t="s">
        <v>33</v>
      </c>
      <c r="W85">
        <v>3</v>
      </c>
      <c r="X85">
        <v>1</v>
      </c>
      <c r="Y85">
        <v>1</v>
      </c>
      <c r="Z85" t="s">
        <v>34</v>
      </c>
      <c r="AA85" t="s">
        <v>35</v>
      </c>
      <c r="AB85" t="s">
        <v>36</v>
      </c>
      <c r="AC85" t="s">
        <v>33</v>
      </c>
      <c r="AD85" t="s">
        <v>37</v>
      </c>
    </row>
    <row r="86" spans="1:30" x14ac:dyDescent="0.2">
      <c r="A86">
        <v>84</v>
      </c>
      <c r="B86">
        <v>0</v>
      </c>
      <c r="C86">
        <v>84</v>
      </c>
      <c r="D86" t="s">
        <v>38</v>
      </c>
      <c r="E86">
        <v>1</v>
      </c>
      <c r="F86">
        <v>0.29977549899922401</v>
      </c>
      <c r="G86" t="s">
        <v>33</v>
      </c>
      <c r="H86">
        <v>-2</v>
      </c>
      <c r="I86">
        <v>84</v>
      </c>
      <c r="J86">
        <v>0</v>
      </c>
      <c r="K86">
        <v>84</v>
      </c>
      <c r="L86">
        <v>0</v>
      </c>
      <c r="M86">
        <v>135.05650187499799</v>
      </c>
      <c r="N86">
        <v>135.04781554099799</v>
      </c>
      <c r="O86">
        <v>135.05650187499799</v>
      </c>
      <c r="P86">
        <v>136.04453241599899</v>
      </c>
      <c r="Q86">
        <v>136.05043220799701</v>
      </c>
      <c r="R86">
        <v>136.346243415999</v>
      </c>
      <c r="S86" t="s">
        <v>38</v>
      </c>
      <c r="T86">
        <v>1</v>
      </c>
      <c r="U86">
        <v>0.29977549899922401</v>
      </c>
      <c r="V86" t="s">
        <v>33</v>
      </c>
      <c r="W86">
        <v>-2</v>
      </c>
      <c r="X86">
        <v>1</v>
      </c>
      <c r="Y86">
        <v>1</v>
      </c>
      <c r="Z86" t="s">
        <v>34</v>
      </c>
      <c r="AA86" t="s">
        <v>35</v>
      </c>
      <c r="AB86" t="s">
        <v>36</v>
      </c>
      <c r="AC86" t="s">
        <v>33</v>
      </c>
      <c r="AD86" t="s">
        <v>37</v>
      </c>
    </row>
    <row r="87" spans="1:30" x14ac:dyDescent="0.2">
      <c r="A87">
        <v>85</v>
      </c>
      <c r="B87">
        <v>0</v>
      </c>
      <c r="C87">
        <v>85</v>
      </c>
      <c r="D87" t="s">
        <v>38</v>
      </c>
      <c r="E87">
        <v>1</v>
      </c>
      <c r="F87">
        <v>0.29974487399886102</v>
      </c>
      <c r="G87" t="s">
        <v>33</v>
      </c>
      <c r="H87">
        <v>-3</v>
      </c>
      <c r="I87">
        <v>85</v>
      </c>
      <c r="J87">
        <v>0</v>
      </c>
      <c r="K87">
        <v>85</v>
      </c>
      <c r="L87">
        <v>0</v>
      </c>
      <c r="M87">
        <v>136.355012249998</v>
      </c>
      <c r="N87">
        <v>136.34674637499799</v>
      </c>
      <c r="O87">
        <v>136.355012249998</v>
      </c>
      <c r="P87">
        <v>137.34461120799801</v>
      </c>
      <c r="Q87">
        <v>137.351366332997</v>
      </c>
      <c r="R87">
        <v>137.646548290998</v>
      </c>
      <c r="S87" t="s">
        <v>38</v>
      </c>
      <c r="T87">
        <v>1</v>
      </c>
      <c r="U87">
        <v>0.29974487399886102</v>
      </c>
      <c r="V87" t="s">
        <v>33</v>
      </c>
      <c r="W87">
        <v>-3</v>
      </c>
      <c r="X87">
        <v>1</v>
      </c>
      <c r="Y87">
        <v>1</v>
      </c>
      <c r="Z87" t="s">
        <v>34</v>
      </c>
      <c r="AA87" t="s">
        <v>35</v>
      </c>
      <c r="AB87" t="s">
        <v>36</v>
      </c>
      <c r="AC87" t="s">
        <v>33</v>
      </c>
      <c r="AD87" t="s">
        <v>37</v>
      </c>
    </row>
    <row r="88" spans="1:30" x14ac:dyDescent="0.2">
      <c r="A88">
        <v>86</v>
      </c>
      <c r="B88">
        <v>0</v>
      </c>
      <c r="C88">
        <v>86</v>
      </c>
      <c r="D88" t="s">
        <v>38</v>
      </c>
      <c r="E88">
        <v>1</v>
      </c>
      <c r="F88">
        <v>0.31752029099880003</v>
      </c>
      <c r="G88" t="s">
        <v>33</v>
      </c>
      <c r="H88">
        <v>2</v>
      </c>
      <c r="I88">
        <v>86</v>
      </c>
      <c r="J88">
        <v>0</v>
      </c>
      <c r="K88">
        <v>86</v>
      </c>
      <c r="L88">
        <v>0</v>
      </c>
      <c r="M88">
        <v>137.654988915997</v>
      </c>
      <c r="N88">
        <v>137.647137415999</v>
      </c>
      <c r="O88">
        <v>137.654988915997</v>
      </c>
      <c r="P88">
        <v>138.64478904099801</v>
      </c>
      <c r="Q88">
        <v>138.65091091599899</v>
      </c>
      <c r="R88">
        <v>138.96857783299799</v>
      </c>
      <c r="S88" t="s">
        <v>38</v>
      </c>
      <c r="T88">
        <v>1</v>
      </c>
      <c r="U88">
        <v>0.31752029099880003</v>
      </c>
      <c r="V88" t="s">
        <v>33</v>
      </c>
      <c r="W88">
        <v>2</v>
      </c>
      <c r="X88">
        <v>1</v>
      </c>
      <c r="Y88">
        <v>1</v>
      </c>
      <c r="Z88" t="s">
        <v>34</v>
      </c>
      <c r="AA88" t="s">
        <v>35</v>
      </c>
      <c r="AB88" t="s">
        <v>36</v>
      </c>
      <c r="AC88" t="s">
        <v>33</v>
      </c>
      <c r="AD88" t="s">
        <v>37</v>
      </c>
    </row>
    <row r="89" spans="1:30" x14ac:dyDescent="0.2">
      <c r="A89">
        <v>87</v>
      </c>
      <c r="B89">
        <v>0</v>
      </c>
      <c r="C89">
        <v>87</v>
      </c>
      <c r="D89" t="s">
        <v>32</v>
      </c>
      <c r="E89">
        <v>0</v>
      </c>
      <c r="F89">
        <v>0.54565095799989605</v>
      </c>
      <c r="G89" t="s">
        <v>33</v>
      </c>
      <c r="H89">
        <v>1</v>
      </c>
      <c r="I89">
        <v>87</v>
      </c>
      <c r="J89">
        <v>0</v>
      </c>
      <c r="K89">
        <v>87</v>
      </c>
      <c r="L89">
        <v>0</v>
      </c>
      <c r="M89">
        <v>138.977061457997</v>
      </c>
      <c r="N89">
        <v>138.969096082997</v>
      </c>
      <c r="O89">
        <v>138.977061457997</v>
      </c>
      <c r="P89">
        <v>139.96974800000001</v>
      </c>
      <c r="Q89">
        <v>139.96974800000001</v>
      </c>
      <c r="R89">
        <v>140.519650749996</v>
      </c>
      <c r="S89" t="s">
        <v>32</v>
      </c>
      <c r="T89">
        <v>0</v>
      </c>
      <c r="U89">
        <v>0.54565095799989605</v>
      </c>
      <c r="V89" t="s">
        <v>33</v>
      </c>
      <c r="W89">
        <v>1</v>
      </c>
      <c r="X89">
        <v>1</v>
      </c>
      <c r="Y89">
        <v>1</v>
      </c>
      <c r="Z89" t="s">
        <v>34</v>
      </c>
      <c r="AA89" t="s">
        <v>35</v>
      </c>
      <c r="AB89" t="s">
        <v>36</v>
      </c>
      <c r="AC89" t="s">
        <v>33</v>
      </c>
      <c r="AD89" t="s">
        <v>37</v>
      </c>
    </row>
    <row r="90" spans="1:30" x14ac:dyDescent="0.2">
      <c r="A90">
        <v>88</v>
      </c>
      <c r="B90">
        <v>0</v>
      </c>
      <c r="C90">
        <v>88</v>
      </c>
      <c r="D90" t="s">
        <v>32</v>
      </c>
      <c r="E90">
        <v>1</v>
      </c>
      <c r="F90">
        <v>0.43212987399965602</v>
      </c>
      <c r="G90" t="s">
        <v>33</v>
      </c>
      <c r="H90">
        <v>0</v>
      </c>
      <c r="I90">
        <v>88</v>
      </c>
      <c r="J90">
        <v>0</v>
      </c>
      <c r="K90">
        <v>88</v>
      </c>
      <c r="L90">
        <v>0</v>
      </c>
      <c r="M90">
        <v>140.52846174999999</v>
      </c>
      <c r="N90">
        <v>140.52021279099699</v>
      </c>
      <c r="O90">
        <v>140.52846174999999</v>
      </c>
      <c r="P90">
        <v>141.51826370799901</v>
      </c>
      <c r="Q90">
        <v>141.51826370799901</v>
      </c>
      <c r="R90">
        <v>141.952674707998</v>
      </c>
      <c r="S90" t="s">
        <v>32</v>
      </c>
      <c r="T90">
        <v>1</v>
      </c>
      <c r="U90">
        <v>0.43212987399965602</v>
      </c>
      <c r="V90" t="s">
        <v>33</v>
      </c>
      <c r="W90">
        <v>0</v>
      </c>
      <c r="X90">
        <v>1</v>
      </c>
      <c r="Y90">
        <v>1</v>
      </c>
      <c r="Z90" t="s">
        <v>34</v>
      </c>
      <c r="AA90" t="s">
        <v>35</v>
      </c>
      <c r="AB90" t="s">
        <v>36</v>
      </c>
      <c r="AC90" t="s">
        <v>33</v>
      </c>
      <c r="AD90" t="s">
        <v>37</v>
      </c>
    </row>
    <row r="91" spans="1:30" x14ac:dyDescent="0.2">
      <c r="A91">
        <v>89</v>
      </c>
      <c r="B91">
        <v>0</v>
      </c>
      <c r="C91">
        <v>89</v>
      </c>
      <c r="D91" t="s">
        <v>32</v>
      </c>
      <c r="E91">
        <v>0</v>
      </c>
      <c r="F91">
        <v>0.42467141599990998</v>
      </c>
      <c r="G91" t="s">
        <v>33</v>
      </c>
      <c r="H91">
        <v>3</v>
      </c>
      <c r="I91">
        <v>89</v>
      </c>
      <c r="J91">
        <v>0</v>
      </c>
      <c r="K91">
        <v>89</v>
      </c>
      <c r="L91">
        <v>0</v>
      </c>
      <c r="M91">
        <v>141.961372165998</v>
      </c>
      <c r="N91">
        <v>141.95324970799899</v>
      </c>
      <c r="O91">
        <v>141.961372165998</v>
      </c>
      <c r="P91">
        <v>142.95171916599699</v>
      </c>
      <c r="Q91">
        <v>142.95171916599699</v>
      </c>
      <c r="R91">
        <v>143.38012699999999</v>
      </c>
      <c r="S91" t="s">
        <v>32</v>
      </c>
      <c r="T91">
        <v>0</v>
      </c>
      <c r="U91">
        <v>0.42467141599990998</v>
      </c>
      <c r="V91" t="s">
        <v>33</v>
      </c>
      <c r="W91">
        <v>3</v>
      </c>
      <c r="X91">
        <v>1</v>
      </c>
      <c r="Y91">
        <v>1</v>
      </c>
      <c r="Z91" t="s">
        <v>34</v>
      </c>
      <c r="AA91" t="s">
        <v>35</v>
      </c>
      <c r="AB91" t="s">
        <v>36</v>
      </c>
      <c r="AC91" t="s">
        <v>33</v>
      </c>
      <c r="AD91" t="s">
        <v>37</v>
      </c>
    </row>
    <row r="92" spans="1:30" x14ac:dyDescent="0.2">
      <c r="A92">
        <v>90</v>
      </c>
      <c r="B92">
        <v>0</v>
      </c>
      <c r="C92">
        <v>90</v>
      </c>
      <c r="D92" t="s">
        <v>32</v>
      </c>
      <c r="E92">
        <v>1</v>
      </c>
      <c r="F92">
        <v>0.81825795699842196</v>
      </c>
      <c r="G92" t="s">
        <v>33</v>
      </c>
      <c r="H92">
        <v>0</v>
      </c>
      <c r="I92">
        <v>90</v>
      </c>
      <c r="J92">
        <v>0</v>
      </c>
      <c r="K92">
        <v>90</v>
      </c>
      <c r="L92">
        <v>0</v>
      </c>
      <c r="M92">
        <v>143.388589999998</v>
      </c>
      <c r="N92">
        <v>143.380643832999</v>
      </c>
      <c r="O92">
        <v>143.388589999998</v>
      </c>
      <c r="P92">
        <v>144.37812654099901</v>
      </c>
      <c r="Q92">
        <v>144.38384412499701</v>
      </c>
      <c r="R92">
        <v>145.20219524999899</v>
      </c>
      <c r="S92" t="s">
        <v>32</v>
      </c>
      <c r="T92">
        <v>1</v>
      </c>
      <c r="U92">
        <v>0.81825795699842196</v>
      </c>
      <c r="V92" t="s">
        <v>33</v>
      </c>
      <c r="W92">
        <v>0</v>
      </c>
      <c r="X92">
        <v>1</v>
      </c>
      <c r="Y92">
        <v>1</v>
      </c>
      <c r="Z92" t="s">
        <v>34</v>
      </c>
      <c r="AA92" t="s">
        <v>35</v>
      </c>
      <c r="AB92" t="s">
        <v>36</v>
      </c>
      <c r="AC92" t="s">
        <v>33</v>
      </c>
      <c r="AD92" t="s">
        <v>37</v>
      </c>
    </row>
    <row r="93" spans="1:30" x14ac:dyDescent="0.2">
      <c r="A93">
        <v>91</v>
      </c>
      <c r="B93">
        <v>0</v>
      </c>
      <c r="C93">
        <v>91</v>
      </c>
      <c r="D93" t="s">
        <v>32</v>
      </c>
      <c r="E93">
        <v>1</v>
      </c>
      <c r="F93">
        <v>0.28444166599729198</v>
      </c>
      <c r="G93" t="s">
        <v>33</v>
      </c>
      <c r="H93">
        <v>0</v>
      </c>
      <c r="I93">
        <v>91</v>
      </c>
      <c r="J93">
        <v>0</v>
      </c>
      <c r="K93">
        <v>91</v>
      </c>
      <c r="L93">
        <v>0</v>
      </c>
      <c r="M93">
        <v>145.21093991599901</v>
      </c>
      <c r="N93">
        <v>145.20267224999699</v>
      </c>
      <c r="O93">
        <v>145.21093991599901</v>
      </c>
      <c r="P93">
        <v>146.20292358299699</v>
      </c>
      <c r="Q93">
        <v>146.20292358299699</v>
      </c>
      <c r="R93">
        <v>146.49702795799701</v>
      </c>
      <c r="S93" t="s">
        <v>32</v>
      </c>
      <c r="T93">
        <v>1</v>
      </c>
      <c r="U93">
        <v>0.28444166599729198</v>
      </c>
      <c r="V93" t="s">
        <v>33</v>
      </c>
      <c r="W93">
        <v>0</v>
      </c>
      <c r="X93">
        <v>1</v>
      </c>
      <c r="Y93">
        <v>1</v>
      </c>
      <c r="Z93" t="s">
        <v>34</v>
      </c>
      <c r="AA93" t="s">
        <v>35</v>
      </c>
      <c r="AB93" t="s">
        <v>36</v>
      </c>
      <c r="AC93" t="s">
        <v>33</v>
      </c>
      <c r="AD93" t="s">
        <v>37</v>
      </c>
    </row>
    <row r="94" spans="1:30" x14ac:dyDescent="0.2">
      <c r="A94">
        <v>92</v>
      </c>
      <c r="B94">
        <v>0</v>
      </c>
      <c r="C94">
        <v>92</v>
      </c>
      <c r="D94" t="s">
        <v>32</v>
      </c>
      <c r="E94">
        <v>1</v>
      </c>
      <c r="F94">
        <v>0.26678020799954499</v>
      </c>
      <c r="G94" t="s">
        <v>33</v>
      </c>
      <c r="H94">
        <v>0</v>
      </c>
      <c r="I94">
        <v>92</v>
      </c>
      <c r="J94">
        <v>0</v>
      </c>
      <c r="K94">
        <v>92</v>
      </c>
      <c r="L94">
        <v>0</v>
      </c>
      <c r="M94">
        <v>146.50570837499899</v>
      </c>
      <c r="N94">
        <v>146.49754449999801</v>
      </c>
      <c r="O94">
        <v>146.50570837499899</v>
      </c>
      <c r="P94">
        <v>147.494608749999</v>
      </c>
      <c r="Q94">
        <v>147.500641</v>
      </c>
      <c r="R94">
        <v>147.763201915997</v>
      </c>
      <c r="S94" t="s">
        <v>32</v>
      </c>
      <c r="T94">
        <v>1</v>
      </c>
      <c r="U94">
        <v>0.26678020799954499</v>
      </c>
      <c r="V94" t="s">
        <v>33</v>
      </c>
      <c r="W94">
        <v>0</v>
      </c>
      <c r="X94">
        <v>1</v>
      </c>
      <c r="Y94">
        <v>1</v>
      </c>
      <c r="Z94" t="s">
        <v>34</v>
      </c>
      <c r="AA94" t="s">
        <v>35</v>
      </c>
      <c r="AB94" t="s">
        <v>36</v>
      </c>
      <c r="AC94" t="s">
        <v>33</v>
      </c>
      <c r="AD94" t="s">
        <v>37</v>
      </c>
    </row>
    <row r="95" spans="1:30" x14ac:dyDescent="0.2">
      <c r="A95">
        <v>93</v>
      </c>
      <c r="B95">
        <v>0</v>
      </c>
      <c r="C95">
        <v>93</v>
      </c>
      <c r="D95" t="s">
        <v>38</v>
      </c>
      <c r="E95">
        <v>1</v>
      </c>
      <c r="F95">
        <v>0.69617554099750101</v>
      </c>
      <c r="G95" t="s">
        <v>33</v>
      </c>
      <c r="H95">
        <v>4</v>
      </c>
      <c r="I95">
        <v>93</v>
      </c>
      <c r="J95">
        <v>0</v>
      </c>
      <c r="K95">
        <v>93</v>
      </c>
      <c r="L95">
        <v>0</v>
      </c>
      <c r="M95">
        <v>147.771710375</v>
      </c>
      <c r="N95">
        <v>147.76373812499801</v>
      </c>
      <c r="O95">
        <v>147.771710375</v>
      </c>
      <c r="P95">
        <v>148.761302457998</v>
      </c>
      <c r="Q95">
        <v>148.76720770799801</v>
      </c>
      <c r="R95">
        <v>149.463823499998</v>
      </c>
      <c r="S95" t="s">
        <v>38</v>
      </c>
      <c r="T95">
        <v>1</v>
      </c>
      <c r="U95">
        <v>0.69617554099750101</v>
      </c>
      <c r="V95" t="s">
        <v>33</v>
      </c>
      <c r="W95">
        <v>4</v>
      </c>
      <c r="X95">
        <v>1</v>
      </c>
      <c r="Y95">
        <v>1</v>
      </c>
      <c r="Z95" t="s">
        <v>34</v>
      </c>
      <c r="AA95" t="s">
        <v>35</v>
      </c>
      <c r="AB95" t="s">
        <v>36</v>
      </c>
      <c r="AC95" t="s">
        <v>33</v>
      </c>
      <c r="AD95" t="s">
        <v>37</v>
      </c>
    </row>
    <row r="96" spans="1:30" x14ac:dyDescent="0.2">
      <c r="A96">
        <v>94</v>
      </c>
      <c r="B96">
        <v>0</v>
      </c>
      <c r="C96">
        <v>94</v>
      </c>
      <c r="D96" t="s">
        <v>32</v>
      </c>
      <c r="E96">
        <v>1</v>
      </c>
      <c r="F96">
        <v>0.82125599999926602</v>
      </c>
      <c r="G96" t="s">
        <v>33</v>
      </c>
      <c r="H96">
        <v>0</v>
      </c>
      <c r="I96">
        <v>94</v>
      </c>
      <c r="J96">
        <v>0</v>
      </c>
      <c r="K96">
        <v>94</v>
      </c>
      <c r="L96">
        <v>0</v>
      </c>
      <c r="M96">
        <v>149.47267766599899</v>
      </c>
      <c r="N96">
        <v>149.464400582997</v>
      </c>
      <c r="O96">
        <v>149.47267766599899</v>
      </c>
      <c r="P96">
        <v>150.461294582997</v>
      </c>
      <c r="Q96">
        <v>150.46699041599999</v>
      </c>
      <c r="R96">
        <v>151.28655704099901</v>
      </c>
      <c r="S96" t="s">
        <v>32</v>
      </c>
      <c r="T96">
        <v>1</v>
      </c>
      <c r="U96">
        <v>0.82125599999926602</v>
      </c>
      <c r="V96" t="s">
        <v>33</v>
      </c>
      <c r="W96">
        <v>0</v>
      </c>
      <c r="X96">
        <v>1</v>
      </c>
      <c r="Y96">
        <v>1</v>
      </c>
      <c r="Z96" t="s">
        <v>34</v>
      </c>
      <c r="AA96" t="s">
        <v>35</v>
      </c>
      <c r="AB96" t="s">
        <v>36</v>
      </c>
      <c r="AC96" t="s">
        <v>33</v>
      </c>
      <c r="AD96" t="s">
        <v>37</v>
      </c>
    </row>
    <row r="97" spans="1:30" x14ac:dyDescent="0.2">
      <c r="A97">
        <v>95</v>
      </c>
      <c r="B97">
        <v>0</v>
      </c>
      <c r="C97">
        <v>95</v>
      </c>
      <c r="D97" t="s">
        <v>32</v>
      </c>
      <c r="E97">
        <v>1</v>
      </c>
      <c r="F97">
        <v>0.27493091600263098</v>
      </c>
      <c r="G97" t="s">
        <v>33</v>
      </c>
      <c r="H97">
        <v>0</v>
      </c>
      <c r="I97">
        <v>95</v>
      </c>
      <c r="J97">
        <v>0</v>
      </c>
      <c r="K97">
        <v>95</v>
      </c>
      <c r="L97">
        <v>0</v>
      </c>
      <c r="M97">
        <v>151.295136458</v>
      </c>
      <c r="N97">
        <v>151.287098875</v>
      </c>
      <c r="O97">
        <v>151.295136458</v>
      </c>
      <c r="P97">
        <v>152.28465599999899</v>
      </c>
      <c r="Q97">
        <v>152.28465599999899</v>
      </c>
      <c r="R97">
        <v>152.56367270799799</v>
      </c>
      <c r="S97" t="s">
        <v>32</v>
      </c>
      <c r="T97">
        <v>1</v>
      </c>
      <c r="U97">
        <v>0.27493091600263098</v>
      </c>
      <c r="V97" t="s">
        <v>33</v>
      </c>
      <c r="W97">
        <v>0</v>
      </c>
      <c r="X97">
        <v>1</v>
      </c>
      <c r="Y97">
        <v>1</v>
      </c>
      <c r="Z97" t="s">
        <v>34</v>
      </c>
      <c r="AA97" t="s">
        <v>35</v>
      </c>
      <c r="AB97" t="s">
        <v>36</v>
      </c>
      <c r="AC97" t="s">
        <v>33</v>
      </c>
      <c r="AD97" t="s">
        <v>37</v>
      </c>
    </row>
    <row r="98" spans="1:30" x14ac:dyDescent="0.2">
      <c r="A98">
        <v>96</v>
      </c>
      <c r="B98">
        <v>0</v>
      </c>
      <c r="C98">
        <v>96</v>
      </c>
      <c r="D98" t="s">
        <v>32</v>
      </c>
      <c r="E98">
        <v>0</v>
      </c>
      <c r="F98">
        <v>0.38187991599988802</v>
      </c>
      <c r="G98" t="s">
        <v>33</v>
      </c>
      <c r="H98">
        <v>-4</v>
      </c>
      <c r="I98">
        <v>96</v>
      </c>
      <c r="J98">
        <v>0</v>
      </c>
      <c r="K98">
        <v>96</v>
      </c>
      <c r="L98">
        <v>0</v>
      </c>
      <c r="M98">
        <v>152.57189012500001</v>
      </c>
      <c r="N98">
        <v>152.56420762499599</v>
      </c>
      <c r="O98">
        <v>152.57189012500001</v>
      </c>
      <c r="P98">
        <v>153.56174045799699</v>
      </c>
      <c r="Q98">
        <v>153.56775500000001</v>
      </c>
      <c r="R98">
        <v>153.94774012499599</v>
      </c>
      <c r="S98" t="s">
        <v>32</v>
      </c>
      <c r="T98">
        <v>0</v>
      </c>
      <c r="U98">
        <v>0.38187991599988802</v>
      </c>
      <c r="V98" t="s">
        <v>33</v>
      </c>
      <c r="W98">
        <v>-4</v>
      </c>
      <c r="X98">
        <v>1</v>
      </c>
      <c r="Y98">
        <v>1</v>
      </c>
      <c r="Z98" t="s">
        <v>34</v>
      </c>
      <c r="AA98" t="s">
        <v>35</v>
      </c>
      <c r="AB98" t="s">
        <v>36</v>
      </c>
      <c r="AC98" t="s">
        <v>33</v>
      </c>
      <c r="AD98" t="s">
        <v>37</v>
      </c>
    </row>
    <row r="99" spans="1:30" x14ac:dyDescent="0.2">
      <c r="A99">
        <v>97</v>
      </c>
      <c r="B99">
        <v>0</v>
      </c>
      <c r="C99">
        <v>97</v>
      </c>
      <c r="D99" t="s">
        <v>32</v>
      </c>
      <c r="E99">
        <v>1</v>
      </c>
      <c r="F99">
        <v>0.20421086999999999</v>
      </c>
      <c r="G99" t="s">
        <v>33</v>
      </c>
      <c r="H99">
        <v>0</v>
      </c>
      <c r="I99">
        <v>97</v>
      </c>
      <c r="J99">
        <v>0</v>
      </c>
      <c r="K99">
        <v>97</v>
      </c>
      <c r="L99">
        <v>0</v>
      </c>
      <c r="M99">
        <v>153.956417999997</v>
      </c>
      <c r="N99">
        <v>153.948256832998</v>
      </c>
      <c r="O99">
        <v>153.956417999997</v>
      </c>
      <c r="P99">
        <v>154.94527441599701</v>
      </c>
      <c r="Q99">
        <v>154.951222040999</v>
      </c>
      <c r="R99">
        <v>155.15226095799801</v>
      </c>
      <c r="S99" t="s">
        <v>32</v>
      </c>
      <c r="T99">
        <v>1</v>
      </c>
      <c r="U99">
        <v>0.20421086999999999</v>
      </c>
      <c r="V99" t="s">
        <v>33</v>
      </c>
      <c r="W99">
        <v>0</v>
      </c>
      <c r="X99">
        <v>1</v>
      </c>
      <c r="Y99">
        <v>1</v>
      </c>
      <c r="Z99" t="s">
        <v>34</v>
      </c>
      <c r="AA99" t="s">
        <v>35</v>
      </c>
      <c r="AB99" t="s">
        <v>36</v>
      </c>
      <c r="AC99" t="s">
        <v>33</v>
      </c>
      <c r="AD99" t="s">
        <v>37</v>
      </c>
    </row>
    <row r="100" spans="1:30" x14ac:dyDescent="0.2">
      <c r="A100">
        <v>98</v>
      </c>
      <c r="B100">
        <v>0</v>
      </c>
      <c r="C100">
        <v>98</v>
      </c>
      <c r="D100" t="s">
        <v>32</v>
      </c>
      <c r="E100">
        <v>1</v>
      </c>
      <c r="F100">
        <v>0.17359204099921</v>
      </c>
      <c r="G100" t="s">
        <v>33</v>
      </c>
      <c r="H100">
        <v>0</v>
      </c>
      <c r="I100">
        <v>98</v>
      </c>
      <c r="J100">
        <v>0</v>
      </c>
      <c r="K100">
        <v>98</v>
      </c>
      <c r="L100">
        <v>0</v>
      </c>
      <c r="M100">
        <v>155.16077799999701</v>
      </c>
      <c r="N100">
        <v>155.15270870799901</v>
      </c>
      <c r="O100">
        <v>155.16077799999701</v>
      </c>
      <c r="P100">
        <v>156.15200649999599</v>
      </c>
      <c r="Q100">
        <v>156.15200649999599</v>
      </c>
      <c r="R100">
        <v>156.33027974999999</v>
      </c>
      <c r="S100" t="s">
        <v>32</v>
      </c>
      <c r="T100">
        <v>1</v>
      </c>
      <c r="U100">
        <v>0.17359204099921</v>
      </c>
      <c r="V100" t="s">
        <v>33</v>
      </c>
      <c r="W100">
        <v>0</v>
      </c>
      <c r="X100">
        <v>1</v>
      </c>
      <c r="Y100">
        <v>1</v>
      </c>
      <c r="Z100" t="s">
        <v>34</v>
      </c>
      <c r="AA100" t="s">
        <v>35</v>
      </c>
      <c r="AB100" t="s">
        <v>36</v>
      </c>
      <c r="AC100" t="s">
        <v>33</v>
      </c>
      <c r="AD100" t="s">
        <v>37</v>
      </c>
    </row>
    <row r="101" spans="1:30" x14ac:dyDescent="0.2">
      <c r="A101">
        <v>99</v>
      </c>
      <c r="B101">
        <v>0</v>
      </c>
      <c r="C101">
        <v>99</v>
      </c>
      <c r="D101" t="s">
        <v>32</v>
      </c>
      <c r="E101">
        <v>0</v>
      </c>
      <c r="F101">
        <v>0.90174003999999996</v>
      </c>
      <c r="G101" t="s">
        <v>33</v>
      </c>
      <c r="H101">
        <v>4</v>
      </c>
      <c r="I101">
        <v>99</v>
      </c>
      <c r="J101">
        <v>0</v>
      </c>
      <c r="K101">
        <v>99</v>
      </c>
      <c r="L101">
        <v>0</v>
      </c>
      <c r="M101">
        <v>156.339314624998</v>
      </c>
      <c r="N101">
        <v>156.33093412499801</v>
      </c>
      <c r="O101">
        <v>156.339314624998</v>
      </c>
      <c r="P101">
        <v>157.328842332997</v>
      </c>
      <c r="Q101">
        <v>157.33486933299699</v>
      </c>
      <c r="R101">
        <v>158.237172999997</v>
      </c>
      <c r="S101" t="s">
        <v>32</v>
      </c>
      <c r="T101">
        <v>0</v>
      </c>
      <c r="U101">
        <v>0.90174003999999996</v>
      </c>
      <c r="V101" t="s">
        <v>33</v>
      </c>
      <c r="W101">
        <v>4</v>
      </c>
      <c r="X101">
        <v>1</v>
      </c>
      <c r="Y101">
        <v>1</v>
      </c>
      <c r="Z101" t="s">
        <v>34</v>
      </c>
      <c r="AA101" t="s">
        <v>35</v>
      </c>
      <c r="AB101" t="s">
        <v>36</v>
      </c>
      <c r="AC101" t="s">
        <v>33</v>
      </c>
      <c r="AD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4B60-7E74-B84D-B24B-524E16372654}">
  <dimension ref="A1:L103"/>
  <sheetViews>
    <sheetView tabSelected="1" zoomScale="111" workbookViewId="0">
      <selection activeCell="I24" sqref="I24"/>
    </sheetView>
  </sheetViews>
  <sheetFormatPr baseColWidth="10" defaultRowHeight="16" x14ac:dyDescent="0.2"/>
  <cols>
    <col min="1" max="1" width="12.1640625" customWidth="1"/>
    <col min="2" max="2" width="12" customWidth="1"/>
    <col min="10" max="10" width="14.33203125" customWidth="1"/>
    <col min="11" max="11" width="12.83203125" customWidth="1"/>
    <col min="12" max="12" width="11.83203125" customWidth="1"/>
  </cols>
  <sheetData>
    <row r="1" spans="1:12" x14ac:dyDescent="0.2">
      <c r="A1" t="s">
        <v>3</v>
      </c>
      <c r="B1" t="s">
        <v>4</v>
      </c>
      <c r="C1" t="s">
        <v>7</v>
      </c>
      <c r="E1" t="s">
        <v>44</v>
      </c>
      <c r="F1" t="s">
        <v>45</v>
      </c>
      <c r="G1" t="s">
        <v>46</v>
      </c>
      <c r="H1" t="s">
        <v>47</v>
      </c>
    </row>
    <row r="2" spans="1:12" x14ac:dyDescent="0.2">
      <c r="A2" t="s">
        <v>32</v>
      </c>
      <c r="B2">
        <v>0</v>
      </c>
      <c r="C2">
        <v>-3</v>
      </c>
      <c r="G2">
        <v>1</v>
      </c>
    </row>
    <row r="3" spans="1:12" x14ac:dyDescent="0.2">
      <c r="A3" t="s">
        <v>32</v>
      </c>
      <c r="B3">
        <v>0</v>
      </c>
      <c r="C3">
        <v>1</v>
      </c>
      <c r="G3">
        <v>1</v>
      </c>
    </row>
    <row r="4" spans="1:12" x14ac:dyDescent="0.2">
      <c r="A4" t="s">
        <v>32</v>
      </c>
      <c r="B4">
        <v>1</v>
      </c>
      <c r="C4">
        <v>0</v>
      </c>
      <c r="E4">
        <v>1</v>
      </c>
    </row>
    <row r="5" spans="1:12" x14ac:dyDescent="0.2">
      <c r="A5" t="s">
        <v>32</v>
      </c>
      <c r="B5">
        <v>1</v>
      </c>
      <c r="C5">
        <v>0</v>
      </c>
      <c r="E5">
        <v>1</v>
      </c>
    </row>
    <row r="6" spans="1:12" x14ac:dyDescent="0.2">
      <c r="A6" t="s">
        <v>32</v>
      </c>
      <c r="B6">
        <v>0</v>
      </c>
      <c r="C6">
        <v>-3</v>
      </c>
      <c r="G6">
        <v>1</v>
      </c>
    </row>
    <row r="7" spans="1:12" x14ac:dyDescent="0.2">
      <c r="A7" t="s">
        <v>38</v>
      </c>
      <c r="B7">
        <v>1</v>
      </c>
      <c r="C7">
        <v>4</v>
      </c>
      <c r="H7">
        <v>1</v>
      </c>
    </row>
    <row r="8" spans="1:12" x14ac:dyDescent="0.2">
      <c r="A8" t="s">
        <v>32</v>
      </c>
      <c r="B8">
        <v>1</v>
      </c>
      <c r="C8">
        <v>0</v>
      </c>
      <c r="E8">
        <v>1</v>
      </c>
    </row>
    <row r="9" spans="1:12" x14ac:dyDescent="0.2">
      <c r="A9" t="s">
        <v>32</v>
      </c>
      <c r="B9">
        <v>1</v>
      </c>
      <c r="C9">
        <v>0</v>
      </c>
      <c r="E9">
        <v>1</v>
      </c>
      <c r="J9" s="2"/>
      <c r="K9" s="3" t="s">
        <v>40</v>
      </c>
      <c r="L9" s="3" t="s">
        <v>41</v>
      </c>
    </row>
    <row r="10" spans="1:12" x14ac:dyDescent="0.2">
      <c r="A10" t="s">
        <v>32</v>
      </c>
      <c r="B10">
        <v>0</v>
      </c>
      <c r="C10">
        <v>-3</v>
      </c>
      <c r="G10">
        <v>1</v>
      </c>
      <c r="J10" s="3" t="s">
        <v>42</v>
      </c>
      <c r="K10" s="4" t="s">
        <v>44</v>
      </c>
      <c r="L10" s="4" t="s">
        <v>45</v>
      </c>
    </row>
    <row r="11" spans="1:12" x14ac:dyDescent="0.2">
      <c r="A11" t="s">
        <v>38</v>
      </c>
      <c r="B11">
        <v>0</v>
      </c>
      <c r="C11">
        <v>0</v>
      </c>
      <c r="F11">
        <v>1</v>
      </c>
      <c r="J11" s="3" t="s">
        <v>43</v>
      </c>
      <c r="K11" s="4" t="s">
        <v>46</v>
      </c>
      <c r="L11" s="4" t="s">
        <v>47</v>
      </c>
    </row>
    <row r="12" spans="1:12" x14ac:dyDescent="0.2">
      <c r="A12" t="s">
        <v>38</v>
      </c>
      <c r="B12">
        <v>0</v>
      </c>
      <c r="C12">
        <v>0</v>
      </c>
      <c r="F12">
        <v>1</v>
      </c>
    </row>
    <row r="13" spans="1:12" x14ac:dyDescent="0.2">
      <c r="A13" t="s">
        <v>38</v>
      </c>
      <c r="B13">
        <v>1</v>
      </c>
      <c r="C13">
        <v>3</v>
      </c>
      <c r="H13">
        <v>1</v>
      </c>
    </row>
    <row r="14" spans="1:12" x14ac:dyDescent="0.2">
      <c r="A14" t="s">
        <v>38</v>
      </c>
      <c r="B14">
        <v>1</v>
      </c>
      <c r="C14">
        <v>4</v>
      </c>
      <c r="H14">
        <v>1</v>
      </c>
      <c r="J14" s="1" t="s">
        <v>48</v>
      </c>
      <c r="K14" s="5">
        <f>E103/(E103+F103)</f>
        <v>0.77083333333333337</v>
      </c>
    </row>
    <row r="15" spans="1:12" x14ac:dyDescent="0.2">
      <c r="A15" t="s">
        <v>38</v>
      </c>
      <c r="B15">
        <v>1</v>
      </c>
      <c r="C15">
        <v>2</v>
      </c>
      <c r="H15">
        <v>1</v>
      </c>
      <c r="J15" s="1" t="s">
        <v>49</v>
      </c>
      <c r="K15" s="5">
        <f>G103/(G103+H103)</f>
        <v>0.48076923076923078</v>
      </c>
    </row>
    <row r="16" spans="1:12" x14ac:dyDescent="0.2">
      <c r="A16" t="s">
        <v>38</v>
      </c>
      <c r="B16">
        <v>0</v>
      </c>
      <c r="C16">
        <v>0</v>
      </c>
      <c r="F16">
        <v>1</v>
      </c>
      <c r="J16" s="1"/>
      <c r="K16" s="5"/>
    </row>
    <row r="17" spans="1:11" x14ac:dyDescent="0.2">
      <c r="A17" t="s">
        <v>32</v>
      </c>
      <c r="B17">
        <v>1</v>
      </c>
      <c r="C17">
        <v>0</v>
      </c>
      <c r="E17">
        <v>1</v>
      </c>
      <c r="J17" s="1" t="s">
        <v>50</v>
      </c>
      <c r="K17" s="5">
        <f>NORMSINV(K14)-NORMSINV(K15)</f>
        <v>0.78981711741743887</v>
      </c>
    </row>
    <row r="18" spans="1:11" x14ac:dyDescent="0.2">
      <c r="A18" t="s">
        <v>32</v>
      </c>
      <c r="B18">
        <v>1</v>
      </c>
      <c r="C18">
        <v>0</v>
      </c>
      <c r="E18">
        <v>1</v>
      </c>
      <c r="J18" s="1" t="s">
        <v>51</v>
      </c>
      <c r="K18" s="5">
        <f>-NORMSINV(K14)+NORMSINV(K15)/2</f>
        <v>-0.7657055806394778</v>
      </c>
    </row>
    <row r="19" spans="1:11" x14ac:dyDescent="0.2">
      <c r="A19" t="s">
        <v>32</v>
      </c>
      <c r="B19">
        <v>1</v>
      </c>
      <c r="C19">
        <v>0</v>
      </c>
      <c r="E19">
        <v>1</v>
      </c>
    </row>
    <row r="20" spans="1:11" x14ac:dyDescent="0.2">
      <c r="A20" t="s">
        <v>32</v>
      </c>
      <c r="B20">
        <v>0</v>
      </c>
      <c r="C20">
        <v>2</v>
      </c>
      <c r="G20">
        <v>1</v>
      </c>
    </row>
    <row r="21" spans="1:11" x14ac:dyDescent="0.2">
      <c r="A21" t="s">
        <v>32</v>
      </c>
      <c r="B21">
        <v>1</v>
      </c>
      <c r="C21">
        <v>0</v>
      </c>
      <c r="E21">
        <v>1</v>
      </c>
    </row>
    <row r="22" spans="1:11" x14ac:dyDescent="0.2">
      <c r="A22" t="s">
        <v>32</v>
      </c>
      <c r="B22">
        <v>1</v>
      </c>
      <c r="C22">
        <v>0</v>
      </c>
      <c r="E22">
        <v>1</v>
      </c>
    </row>
    <row r="23" spans="1:11" x14ac:dyDescent="0.2">
      <c r="A23" t="s">
        <v>32</v>
      </c>
      <c r="B23">
        <v>0</v>
      </c>
      <c r="C23">
        <v>2</v>
      </c>
      <c r="G23">
        <v>1</v>
      </c>
    </row>
    <row r="24" spans="1:11" x14ac:dyDescent="0.2">
      <c r="A24" t="s">
        <v>32</v>
      </c>
      <c r="B24">
        <v>1</v>
      </c>
      <c r="C24">
        <v>0</v>
      </c>
      <c r="E24">
        <v>1</v>
      </c>
    </row>
    <row r="25" spans="1:11" x14ac:dyDescent="0.2">
      <c r="A25" t="s">
        <v>32</v>
      </c>
      <c r="B25">
        <v>0</v>
      </c>
      <c r="C25">
        <v>3</v>
      </c>
      <c r="G25">
        <v>1</v>
      </c>
    </row>
    <row r="26" spans="1:11" x14ac:dyDescent="0.2">
      <c r="A26" t="s">
        <v>32</v>
      </c>
      <c r="B26">
        <v>0</v>
      </c>
      <c r="C26">
        <v>3</v>
      </c>
      <c r="G26">
        <v>1</v>
      </c>
    </row>
    <row r="27" spans="1:11" x14ac:dyDescent="0.2">
      <c r="A27" t="s">
        <v>32</v>
      </c>
      <c r="B27">
        <v>1</v>
      </c>
      <c r="C27">
        <v>0</v>
      </c>
      <c r="E27">
        <v>1</v>
      </c>
    </row>
    <row r="28" spans="1:11" x14ac:dyDescent="0.2">
      <c r="A28" t="s">
        <v>38</v>
      </c>
      <c r="B28">
        <v>1</v>
      </c>
      <c r="C28">
        <v>-4</v>
      </c>
      <c r="H28">
        <v>1</v>
      </c>
    </row>
    <row r="29" spans="1:11" x14ac:dyDescent="0.2">
      <c r="A29" t="s">
        <v>38</v>
      </c>
      <c r="B29">
        <v>1</v>
      </c>
      <c r="C29">
        <v>-4</v>
      </c>
      <c r="H29">
        <v>1</v>
      </c>
    </row>
    <row r="30" spans="1:11" x14ac:dyDescent="0.2">
      <c r="A30" t="s">
        <v>32</v>
      </c>
      <c r="B30">
        <v>0</v>
      </c>
      <c r="C30">
        <v>3</v>
      </c>
      <c r="G30">
        <v>1</v>
      </c>
    </row>
    <row r="31" spans="1:11" x14ac:dyDescent="0.2">
      <c r="A31" t="s">
        <v>32</v>
      </c>
      <c r="B31">
        <v>1</v>
      </c>
      <c r="C31">
        <v>0</v>
      </c>
      <c r="E31">
        <v>1</v>
      </c>
    </row>
    <row r="32" spans="1:11" x14ac:dyDescent="0.2">
      <c r="A32" t="s">
        <v>32</v>
      </c>
      <c r="B32">
        <v>1</v>
      </c>
      <c r="C32">
        <v>0</v>
      </c>
      <c r="E32">
        <v>1</v>
      </c>
    </row>
    <row r="33" spans="1:8" x14ac:dyDescent="0.2">
      <c r="A33" t="s">
        <v>38</v>
      </c>
      <c r="B33">
        <v>0</v>
      </c>
      <c r="C33">
        <v>0</v>
      </c>
      <c r="F33">
        <v>1</v>
      </c>
    </row>
    <row r="34" spans="1:8" x14ac:dyDescent="0.2">
      <c r="A34" t="s">
        <v>38</v>
      </c>
      <c r="B34">
        <v>1</v>
      </c>
      <c r="C34">
        <v>-3</v>
      </c>
      <c r="H34">
        <v>1</v>
      </c>
    </row>
    <row r="35" spans="1:8" x14ac:dyDescent="0.2">
      <c r="A35" t="s">
        <v>38</v>
      </c>
      <c r="B35">
        <v>0</v>
      </c>
      <c r="C35">
        <v>0</v>
      </c>
      <c r="F35">
        <v>1</v>
      </c>
    </row>
    <row r="36" spans="1:8" x14ac:dyDescent="0.2">
      <c r="A36" t="s">
        <v>38</v>
      </c>
      <c r="B36">
        <v>1</v>
      </c>
      <c r="C36">
        <v>-4</v>
      </c>
      <c r="H36">
        <v>1</v>
      </c>
    </row>
    <row r="37" spans="1:8" x14ac:dyDescent="0.2">
      <c r="A37" t="s">
        <v>38</v>
      </c>
      <c r="B37">
        <v>0</v>
      </c>
      <c r="C37">
        <v>0</v>
      </c>
      <c r="F37">
        <v>1</v>
      </c>
    </row>
    <row r="38" spans="1:8" x14ac:dyDescent="0.2">
      <c r="A38" t="s">
        <v>32</v>
      </c>
      <c r="B38">
        <v>0</v>
      </c>
      <c r="C38">
        <v>-2</v>
      </c>
      <c r="G38">
        <v>1</v>
      </c>
    </row>
    <row r="39" spans="1:8" x14ac:dyDescent="0.2">
      <c r="A39" t="s">
        <v>32</v>
      </c>
      <c r="B39">
        <v>1</v>
      </c>
      <c r="C39">
        <v>0</v>
      </c>
      <c r="E39">
        <v>1</v>
      </c>
    </row>
    <row r="40" spans="1:8" x14ac:dyDescent="0.2">
      <c r="A40" t="s">
        <v>32</v>
      </c>
      <c r="B40">
        <v>0</v>
      </c>
      <c r="C40">
        <v>-4</v>
      </c>
      <c r="G40">
        <v>1</v>
      </c>
    </row>
    <row r="41" spans="1:8" x14ac:dyDescent="0.2">
      <c r="A41" t="s">
        <v>32</v>
      </c>
      <c r="B41">
        <v>1</v>
      </c>
      <c r="C41">
        <v>0</v>
      </c>
      <c r="E41">
        <v>1</v>
      </c>
    </row>
    <row r="42" spans="1:8" x14ac:dyDescent="0.2">
      <c r="A42" t="s">
        <v>38</v>
      </c>
      <c r="B42">
        <v>1</v>
      </c>
      <c r="C42">
        <v>4</v>
      </c>
      <c r="H42">
        <v>1</v>
      </c>
    </row>
    <row r="43" spans="1:8" x14ac:dyDescent="0.2">
      <c r="A43" t="s">
        <v>38</v>
      </c>
      <c r="B43">
        <v>1</v>
      </c>
      <c r="C43">
        <v>3</v>
      </c>
      <c r="H43">
        <v>1</v>
      </c>
    </row>
    <row r="44" spans="1:8" x14ac:dyDescent="0.2">
      <c r="A44" t="s">
        <v>32</v>
      </c>
      <c r="B44">
        <v>1</v>
      </c>
      <c r="C44">
        <v>0</v>
      </c>
      <c r="E44">
        <v>1</v>
      </c>
    </row>
    <row r="45" spans="1:8" x14ac:dyDescent="0.2">
      <c r="A45" t="s">
        <v>32</v>
      </c>
      <c r="B45">
        <v>0</v>
      </c>
      <c r="C45">
        <v>4</v>
      </c>
      <c r="G45">
        <v>1</v>
      </c>
    </row>
    <row r="46" spans="1:8" x14ac:dyDescent="0.2">
      <c r="A46" t="s">
        <v>38</v>
      </c>
      <c r="B46">
        <v>1</v>
      </c>
      <c r="C46">
        <v>-5</v>
      </c>
      <c r="H46">
        <v>1</v>
      </c>
    </row>
    <row r="47" spans="1:8" x14ac:dyDescent="0.2">
      <c r="A47" t="s">
        <v>32</v>
      </c>
      <c r="B47">
        <v>1</v>
      </c>
      <c r="C47">
        <v>0</v>
      </c>
      <c r="E47">
        <v>1</v>
      </c>
    </row>
    <row r="48" spans="1:8" x14ac:dyDescent="0.2">
      <c r="A48" t="s">
        <v>32</v>
      </c>
      <c r="B48">
        <v>1</v>
      </c>
      <c r="C48">
        <v>0</v>
      </c>
      <c r="E48">
        <v>1</v>
      </c>
    </row>
    <row r="49" spans="1:8" x14ac:dyDescent="0.2">
      <c r="A49" t="s">
        <v>32</v>
      </c>
      <c r="B49">
        <v>1</v>
      </c>
      <c r="C49">
        <v>0</v>
      </c>
      <c r="E49">
        <v>1</v>
      </c>
    </row>
    <row r="50" spans="1:8" x14ac:dyDescent="0.2">
      <c r="A50" t="s">
        <v>32</v>
      </c>
      <c r="B50">
        <v>1</v>
      </c>
      <c r="C50">
        <v>0</v>
      </c>
      <c r="E50">
        <v>1</v>
      </c>
    </row>
    <row r="51" spans="1:8" x14ac:dyDescent="0.2">
      <c r="A51" t="s">
        <v>32</v>
      </c>
      <c r="B51">
        <v>1</v>
      </c>
      <c r="C51">
        <v>0</v>
      </c>
      <c r="E51">
        <v>1</v>
      </c>
    </row>
    <row r="52" spans="1:8" x14ac:dyDescent="0.2">
      <c r="A52" t="s">
        <v>38</v>
      </c>
      <c r="B52">
        <v>1</v>
      </c>
      <c r="C52">
        <v>-3</v>
      </c>
      <c r="H52">
        <v>1</v>
      </c>
    </row>
    <row r="53" spans="1:8" x14ac:dyDescent="0.2">
      <c r="A53" t="s">
        <v>38</v>
      </c>
      <c r="B53">
        <v>0</v>
      </c>
      <c r="C53">
        <v>0</v>
      </c>
      <c r="F53">
        <v>1</v>
      </c>
    </row>
    <row r="54" spans="1:8" x14ac:dyDescent="0.2">
      <c r="A54" t="s">
        <v>38</v>
      </c>
      <c r="B54">
        <v>1</v>
      </c>
      <c r="C54">
        <v>-5</v>
      </c>
      <c r="H54">
        <v>1</v>
      </c>
    </row>
    <row r="55" spans="1:8" x14ac:dyDescent="0.2">
      <c r="A55" t="s">
        <v>38</v>
      </c>
      <c r="B55">
        <v>0</v>
      </c>
      <c r="C55">
        <v>0</v>
      </c>
      <c r="F55">
        <v>1</v>
      </c>
    </row>
    <row r="56" spans="1:8" x14ac:dyDescent="0.2">
      <c r="A56" t="s">
        <v>32</v>
      </c>
      <c r="B56">
        <v>0</v>
      </c>
      <c r="C56">
        <v>4</v>
      </c>
      <c r="G56">
        <v>1</v>
      </c>
    </row>
    <row r="57" spans="1:8" x14ac:dyDescent="0.2">
      <c r="A57" t="s">
        <v>32</v>
      </c>
      <c r="B57">
        <v>1</v>
      </c>
      <c r="C57">
        <v>0</v>
      </c>
      <c r="E57">
        <v>1</v>
      </c>
    </row>
    <row r="58" spans="1:8" x14ac:dyDescent="0.2">
      <c r="A58" t="s">
        <v>38</v>
      </c>
      <c r="B58">
        <v>1</v>
      </c>
      <c r="C58">
        <v>4</v>
      </c>
      <c r="H58">
        <v>1</v>
      </c>
    </row>
    <row r="59" spans="1:8" x14ac:dyDescent="0.2">
      <c r="A59" t="s">
        <v>32</v>
      </c>
      <c r="B59">
        <v>0</v>
      </c>
      <c r="C59">
        <v>1</v>
      </c>
      <c r="G59">
        <v>1</v>
      </c>
    </row>
    <row r="60" spans="1:8" x14ac:dyDescent="0.2">
      <c r="A60" t="s">
        <v>32</v>
      </c>
      <c r="B60">
        <v>0</v>
      </c>
      <c r="C60">
        <v>4</v>
      </c>
      <c r="G60">
        <v>1</v>
      </c>
    </row>
    <row r="61" spans="1:8" x14ac:dyDescent="0.2">
      <c r="A61" t="s">
        <v>32</v>
      </c>
      <c r="B61">
        <v>0</v>
      </c>
      <c r="C61">
        <v>1</v>
      </c>
      <c r="G61">
        <v>1</v>
      </c>
    </row>
    <row r="62" spans="1:8" x14ac:dyDescent="0.2">
      <c r="A62" t="s">
        <v>32</v>
      </c>
      <c r="B62">
        <v>1</v>
      </c>
      <c r="C62">
        <v>0</v>
      </c>
      <c r="E62">
        <v>1</v>
      </c>
    </row>
    <row r="63" spans="1:8" x14ac:dyDescent="0.2">
      <c r="A63" t="s">
        <v>38</v>
      </c>
      <c r="B63">
        <v>1</v>
      </c>
      <c r="C63">
        <v>4</v>
      </c>
      <c r="H63">
        <v>1</v>
      </c>
    </row>
    <row r="64" spans="1:8" x14ac:dyDescent="0.2">
      <c r="A64" t="s">
        <v>38</v>
      </c>
      <c r="B64">
        <v>1</v>
      </c>
      <c r="C64">
        <v>4</v>
      </c>
      <c r="H64">
        <v>1</v>
      </c>
    </row>
    <row r="65" spans="1:8" x14ac:dyDescent="0.2">
      <c r="A65" t="s">
        <v>32</v>
      </c>
      <c r="B65">
        <v>1</v>
      </c>
      <c r="C65">
        <v>0</v>
      </c>
      <c r="E65">
        <v>1</v>
      </c>
    </row>
    <row r="66" spans="1:8" x14ac:dyDescent="0.2">
      <c r="A66" t="s">
        <v>32</v>
      </c>
      <c r="B66">
        <v>1</v>
      </c>
      <c r="C66">
        <v>0</v>
      </c>
      <c r="E66">
        <v>1</v>
      </c>
    </row>
    <row r="67" spans="1:8" x14ac:dyDescent="0.2">
      <c r="A67" t="s">
        <v>32</v>
      </c>
      <c r="B67">
        <v>1</v>
      </c>
      <c r="C67">
        <v>0</v>
      </c>
      <c r="E67">
        <v>1</v>
      </c>
    </row>
    <row r="68" spans="1:8" x14ac:dyDescent="0.2">
      <c r="A68" t="s">
        <v>38</v>
      </c>
      <c r="B68">
        <v>1</v>
      </c>
      <c r="C68">
        <v>4</v>
      </c>
      <c r="H68">
        <v>1</v>
      </c>
    </row>
    <row r="69" spans="1:8" x14ac:dyDescent="0.2">
      <c r="A69" t="s">
        <v>38</v>
      </c>
      <c r="B69">
        <v>0</v>
      </c>
      <c r="C69">
        <v>0</v>
      </c>
      <c r="F69">
        <v>1</v>
      </c>
    </row>
    <row r="70" spans="1:8" x14ac:dyDescent="0.2">
      <c r="A70" t="s">
        <v>38</v>
      </c>
      <c r="B70">
        <v>1</v>
      </c>
      <c r="C70">
        <v>3</v>
      </c>
      <c r="H70">
        <v>1</v>
      </c>
    </row>
    <row r="71" spans="1:8" x14ac:dyDescent="0.2">
      <c r="A71" t="s">
        <v>38</v>
      </c>
      <c r="B71">
        <v>1</v>
      </c>
      <c r="C71">
        <v>-2</v>
      </c>
      <c r="H71">
        <v>1</v>
      </c>
    </row>
    <row r="72" spans="1:8" x14ac:dyDescent="0.2">
      <c r="A72" t="s">
        <v>32</v>
      </c>
      <c r="B72">
        <v>0</v>
      </c>
      <c r="C72">
        <v>1</v>
      </c>
      <c r="G72">
        <v>1</v>
      </c>
    </row>
    <row r="73" spans="1:8" x14ac:dyDescent="0.2">
      <c r="A73" t="s">
        <v>32</v>
      </c>
      <c r="B73">
        <v>0</v>
      </c>
      <c r="C73">
        <v>-5</v>
      </c>
      <c r="G73">
        <v>1</v>
      </c>
    </row>
    <row r="74" spans="1:8" x14ac:dyDescent="0.2">
      <c r="A74" t="s">
        <v>32</v>
      </c>
      <c r="B74">
        <v>0</v>
      </c>
      <c r="C74">
        <v>-2</v>
      </c>
      <c r="G74">
        <v>1</v>
      </c>
    </row>
    <row r="75" spans="1:8" x14ac:dyDescent="0.2">
      <c r="A75" t="s">
        <v>38</v>
      </c>
      <c r="B75">
        <v>1</v>
      </c>
      <c r="C75">
        <v>4</v>
      </c>
      <c r="H75">
        <v>1</v>
      </c>
    </row>
    <row r="76" spans="1:8" x14ac:dyDescent="0.2">
      <c r="A76" t="s">
        <v>32</v>
      </c>
      <c r="B76">
        <v>1</v>
      </c>
      <c r="C76">
        <v>0</v>
      </c>
      <c r="E76">
        <v>1</v>
      </c>
    </row>
    <row r="77" spans="1:8" x14ac:dyDescent="0.2">
      <c r="A77" t="s">
        <v>32</v>
      </c>
      <c r="B77">
        <v>1</v>
      </c>
      <c r="C77">
        <v>0</v>
      </c>
      <c r="E77">
        <v>1</v>
      </c>
    </row>
    <row r="78" spans="1:8" x14ac:dyDescent="0.2">
      <c r="A78" t="s">
        <v>32</v>
      </c>
      <c r="B78">
        <v>0</v>
      </c>
      <c r="C78">
        <v>-4</v>
      </c>
      <c r="G78">
        <v>1</v>
      </c>
    </row>
    <row r="79" spans="1:8" x14ac:dyDescent="0.2">
      <c r="A79" t="s">
        <v>32</v>
      </c>
      <c r="B79">
        <v>1</v>
      </c>
      <c r="C79">
        <v>0</v>
      </c>
      <c r="E79">
        <v>1</v>
      </c>
    </row>
    <row r="80" spans="1:8" x14ac:dyDescent="0.2">
      <c r="A80" t="s">
        <v>32</v>
      </c>
      <c r="B80">
        <v>0</v>
      </c>
      <c r="C80">
        <v>-4</v>
      </c>
      <c r="G80">
        <v>1</v>
      </c>
    </row>
    <row r="81" spans="1:8" x14ac:dyDescent="0.2">
      <c r="A81" t="s">
        <v>38</v>
      </c>
      <c r="B81">
        <v>1</v>
      </c>
      <c r="C81">
        <v>3</v>
      </c>
      <c r="H81">
        <v>1</v>
      </c>
    </row>
    <row r="82" spans="1:8" x14ac:dyDescent="0.2">
      <c r="A82" t="s">
        <v>38</v>
      </c>
      <c r="B82">
        <v>1</v>
      </c>
      <c r="C82">
        <v>-2</v>
      </c>
      <c r="H82">
        <v>1</v>
      </c>
    </row>
    <row r="83" spans="1:8" x14ac:dyDescent="0.2">
      <c r="A83" t="s">
        <v>38</v>
      </c>
      <c r="B83">
        <v>0</v>
      </c>
      <c r="C83">
        <v>0</v>
      </c>
      <c r="F83">
        <v>1</v>
      </c>
    </row>
    <row r="84" spans="1:8" x14ac:dyDescent="0.2">
      <c r="A84" t="s">
        <v>38</v>
      </c>
      <c r="B84">
        <v>0</v>
      </c>
      <c r="C84">
        <v>0</v>
      </c>
      <c r="F84">
        <v>1</v>
      </c>
    </row>
    <row r="85" spans="1:8" x14ac:dyDescent="0.2">
      <c r="A85" t="s">
        <v>38</v>
      </c>
      <c r="B85">
        <v>1</v>
      </c>
      <c r="C85">
        <v>3</v>
      </c>
      <c r="H85">
        <v>1</v>
      </c>
    </row>
    <row r="86" spans="1:8" x14ac:dyDescent="0.2">
      <c r="A86" t="s">
        <v>38</v>
      </c>
      <c r="B86">
        <v>1</v>
      </c>
      <c r="C86">
        <v>-2</v>
      </c>
      <c r="H86">
        <v>1</v>
      </c>
    </row>
    <row r="87" spans="1:8" x14ac:dyDescent="0.2">
      <c r="A87" t="s">
        <v>38</v>
      </c>
      <c r="B87">
        <v>1</v>
      </c>
      <c r="C87">
        <v>-3</v>
      </c>
      <c r="H87">
        <v>1</v>
      </c>
    </row>
    <row r="88" spans="1:8" x14ac:dyDescent="0.2">
      <c r="A88" t="s">
        <v>38</v>
      </c>
      <c r="B88">
        <v>1</v>
      </c>
      <c r="C88">
        <v>2</v>
      </c>
      <c r="H88">
        <v>1</v>
      </c>
    </row>
    <row r="89" spans="1:8" x14ac:dyDescent="0.2">
      <c r="A89" t="s">
        <v>32</v>
      </c>
      <c r="B89">
        <v>0</v>
      </c>
      <c r="C89">
        <v>1</v>
      </c>
      <c r="G89">
        <v>1</v>
      </c>
    </row>
    <row r="90" spans="1:8" x14ac:dyDescent="0.2">
      <c r="A90" t="s">
        <v>32</v>
      </c>
      <c r="B90">
        <v>1</v>
      </c>
      <c r="C90">
        <v>0</v>
      </c>
      <c r="E90">
        <v>1</v>
      </c>
    </row>
    <row r="91" spans="1:8" x14ac:dyDescent="0.2">
      <c r="A91" t="s">
        <v>32</v>
      </c>
      <c r="B91">
        <v>0</v>
      </c>
      <c r="C91">
        <v>3</v>
      </c>
      <c r="G91">
        <v>1</v>
      </c>
    </row>
    <row r="92" spans="1:8" x14ac:dyDescent="0.2">
      <c r="A92" t="s">
        <v>32</v>
      </c>
      <c r="B92">
        <v>1</v>
      </c>
      <c r="C92">
        <v>0</v>
      </c>
      <c r="E92">
        <v>1</v>
      </c>
    </row>
    <row r="93" spans="1:8" x14ac:dyDescent="0.2">
      <c r="A93" t="s">
        <v>32</v>
      </c>
      <c r="B93">
        <v>1</v>
      </c>
      <c r="C93">
        <v>0</v>
      </c>
      <c r="E93">
        <v>1</v>
      </c>
    </row>
    <row r="94" spans="1:8" x14ac:dyDescent="0.2">
      <c r="A94" t="s">
        <v>32</v>
      </c>
      <c r="B94">
        <v>1</v>
      </c>
      <c r="C94">
        <v>0</v>
      </c>
      <c r="E94">
        <v>1</v>
      </c>
    </row>
    <row r="95" spans="1:8" x14ac:dyDescent="0.2">
      <c r="A95" t="s">
        <v>38</v>
      </c>
      <c r="B95">
        <v>1</v>
      </c>
      <c r="C95">
        <v>4</v>
      </c>
      <c r="H95">
        <v>1</v>
      </c>
    </row>
    <row r="96" spans="1:8" x14ac:dyDescent="0.2">
      <c r="A96" t="s">
        <v>32</v>
      </c>
      <c r="B96">
        <v>1</v>
      </c>
      <c r="C96">
        <v>0</v>
      </c>
      <c r="E96">
        <v>1</v>
      </c>
    </row>
    <row r="97" spans="1:9" x14ac:dyDescent="0.2">
      <c r="A97" t="s">
        <v>32</v>
      </c>
      <c r="B97">
        <v>1</v>
      </c>
      <c r="C97">
        <v>0</v>
      </c>
      <c r="E97">
        <v>1</v>
      </c>
    </row>
    <row r="98" spans="1:9" x14ac:dyDescent="0.2">
      <c r="A98" t="s">
        <v>32</v>
      </c>
      <c r="B98">
        <v>0</v>
      </c>
      <c r="C98">
        <v>-4</v>
      </c>
      <c r="G98">
        <v>1</v>
      </c>
    </row>
    <row r="99" spans="1:9" x14ac:dyDescent="0.2">
      <c r="A99" t="s">
        <v>32</v>
      </c>
      <c r="B99">
        <v>1</v>
      </c>
      <c r="C99">
        <v>0</v>
      </c>
      <c r="E99">
        <v>1</v>
      </c>
    </row>
    <row r="100" spans="1:9" x14ac:dyDescent="0.2">
      <c r="A100" t="s">
        <v>32</v>
      </c>
      <c r="B100">
        <v>1</v>
      </c>
      <c r="C100">
        <v>0</v>
      </c>
      <c r="E100">
        <v>1</v>
      </c>
    </row>
    <row r="101" spans="1:9" x14ac:dyDescent="0.2">
      <c r="A101" t="s">
        <v>32</v>
      </c>
      <c r="B101">
        <v>0</v>
      </c>
      <c r="C101">
        <v>4</v>
      </c>
      <c r="G101">
        <v>1</v>
      </c>
    </row>
    <row r="103" spans="1:9" x14ac:dyDescent="0.2">
      <c r="D103" s="1" t="s">
        <v>39</v>
      </c>
      <c r="E103" s="5">
        <f>SUM(E2:E101)</f>
        <v>37</v>
      </c>
      <c r="F103" s="5">
        <f t="shared" ref="F103:H103" si="0">SUM(F2:F101)</f>
        <v>11</v>
      </c>
      <c r="G103" s="5">
        <f t="shared" si="0"/>
        <v>25</v>
      </c>
      <c r="H103" s="5">
        <f t="shared" si="0"/>
        <v>27</v>
      </c>
      <c r="I103" s="1">
        <f>SUM(E103:H103)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2025-09-06T19:48:54Z</dcterms:created>
  <dcterms:modified xsi:type="dcterms:W3CDTF">2025-09-06T20:38:19Z</dcterms:modified>
</cp:coreProperties>
</file>