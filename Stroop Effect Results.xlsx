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rishashah/Desktop/"/>
    </mc:Choice>
  </mc:AlternateContent>
  <xr:revisionPtr revIDLastSave="0" documentId="13_ncr:1_{ED5EF077-ED82-F146-AB03-5DFB547C7F5D}" xr6:coauthVersionLast="47" xr6:coauthVersionMax="47" xr10:uidLastSave="{00000000-0000-0000-0000-000000000000}"/>
  <bookViews>
    <workbookView xWindow="0" yWindow="0" windowWidth="28800" windowHeight="18000" xr2:uid="{64041DC8-4072-E34B-BE36-41FED2EB6B2F}"/>
  </bookViews>
  <sheets>
    <sheet name="Analysis" sheetId="1" r:id="rId1"/>
    <sheet name="1" sheetId="2" r:id="rId2"/>
    <sheet name="2" sheetId="3" r:id="rId3"/>
    <sheet name="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5" i="1"/>
  <c r="B5" i="1"/>
  <c r="D3" i="1"/>
  <c r="D4" i="1"/>
  <c r="D2" i="1"/>
  <c r="B7" i="1" s="1"/>
  <c r="B8" i="1" s="1"/>
  <c r="D5" i="1" l="1"/>
</calcChain>
</file>

<file path=xl/sharedStrings.xml><?xml version="1.0" encoding="utf-8"?>
<sst xmlns="http://schemas.openxmlformats.org/spreadsheetml/2006/main" count="1855" uniqueCount="74">
  <si>
    <t>Participant</t>
  </si>
  <si>
    <t>Mean_cong_rt</t>
  </si>
  <si>
    <t>Mean_incong_rt</t>
  </si>
  <si>
    <t>Stroop_Effect</t>
  </si>
  <si>
    <t>Overall_Mean</t>
  </si>
  <si>
    <t>std dev</t>
  </si>
  <si>
    <t>std error</t>
  </si>
  <si>
    <t>p-value</t>
  </si>
  <si>
    <t>word</t>
  </si>
  <si>
    <t>colour</t>
  </si>
  <si>
    <t>congruency</t>
  </si>
  <si>
    <t>stim_condition</t>
  </si>
  <si>
    <t>correct_resp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</si>
  <si>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</si>
  <si>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</si>
  <si>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</si>
  <si>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</si>
  <si>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</si>
  <si>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</si>
  <si>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</si>
  <si>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</si>
  <si>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</si>
  <si>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</si>
  <si>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</si>
  <si>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</si>
  <si>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</si>
  <si>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</si>
  <si>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</si>
  <si>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text_2.stopped</t>
  </si>
  <si>
    <t>Instructions.stopped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</si>
  <si>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</si>
  <si>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</si>
  <si>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</si>
  <si>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</si>
  <si>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</si>
  <si>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</si>
  <si>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</si>
  <si>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</si>
  <si>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</si>
  <si>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</si>
  <si>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Thank_You.started</t>
  </si>
  <si>
    <t>text_3.started</t>
  </si>
  <si>
    <t>text_3.stopped</t>
  </si>
  <si>
    <t>Thank_You.stopped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</si>
  <si>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</si>
  <si>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</si>
  <si>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</si>
  <si>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</si>
  <si>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</si>
  <si>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</si>
  <si>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</si>
  <si>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</si>
  <si>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2025-08-26_15h40.11.264</t>
  </si>
  <si>
    <t>stroop task</t>
  </si>
  <si>
    <t>2025.1.1</t>
  </si>
  <si>
    <t>None</t>
  </si>
  <si>
    <t>2025-08-26 15h40.17.372758 +0530</t>
  </si>
  <si>
    <t>RED</t>
  </si>
  <si>
    <t>blue</t>
  </si>
  <si>
    <t>Incongruent</t>
  </si>
  <si>
    <t>I</t>
  </si>
  <si>
    <t>b</t>
  </si>
  <si>
    <t>red</t>
  </si>
  <si>
    <t>Congruent</t>
  </si>
  <si>
    <t>C</t>
  </si>
  <si>
    <t>r</t>
  </si>
  <si>
    <t>BLUE</t>
  </si>
  <si>
    <t>mean cong_rt</t>
  </si>
  <si>
    <t>mean incong_rt</t>
  </si>
  <si>
    <t>2025-08-26_11h25.29.258</t>
  </si>
  <si>
    <t>2025-08-26 11h25.53.985642 +0530</t>
  </si>
  <si>
    <t>Congruency</t>
  </si>
  <si>
    <t>2025-08-26_11h27.31.645</t>
  </si>
  <si>
    <t>2025-08-26 11h27.39.481734 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</si>
</sst>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Congruent vs Incongruent 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Mean_cong_rt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Analysis!$B$2:$B$4</c:f>
              <c:numCache>
                <c:formatCode>General</c:formatCode>
                <c:ptCount val="3"/>
                <c:pt idx="0">
                  <c:v>0.53108498000000004</c:v>
                </c:pt>
                <c:pt idx="1">
                  <c:v>0.53486937499999998</c:v>
                </c:pt>
                <c:pt idx="2">
                  <c:v>0.68287687500000005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6-D94B-BEAF-C686D30B1DA7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Mean_incong_rt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Analysis!$C$2:$C$4</c:f>
              <c:numCache>
                <c:formatCode>General</c:formatCode>
                <c:ptCount val="3"/>
                <c:pt idx="0">
                  <c:v>0.56721738899999996</c:v>
                </c:pt>
                <c:pt idx="1">
                  <c:v>0.65036848599999997</c:v>
                </c:pt>
                <c:pt idx="2">
                  <c:v>0.84517520899999998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16-D94B-BEAF-C686D30B1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780016"/>
        <c:axId val="367467696"/>
      </c:barChart>
      <c:catAx>
        <c:axId val="36778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67696"/>
        <c:crosses val="autoZero"/>
        <c:auto val="1"/>
        <c:lblAlgn val="ctr"/>
        <c:lblOffset val="100"/>
        <c:noMultiLvlLbl val="0"/>
      </c:catAx>
      <c:valAx>
        <c:axId val="36746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Reaction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8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Stroop_Effect per participant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Stroop_Effect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Analysis!$D$2:$D$4</c:f>
              <c:numCache>
                <c:formatCode>General</c:formatCode>
                <c:ptCount val="3"/>
                <c:pt idx="0">
                  <c:v>3.6132408999999921E-2</c:v>
                </c:pt>
                <c:pt idx="1">
                  <c:v>0.11549911099999999</c:v>
                </c:pt>
                <c:pt idx="2">
                  <c:v>0.16229833399999993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6-7541-BF27-435962AA7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786528"/>
        <c:axId val="1914474191"/>
      </c:barChart>
      <c:catAx>
        <c:axId val="36678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474191"/>
        <c:crosses val="autoZero"/>
        <c:auto val="1"/>
        <c:lblAlgn val="ctr"/>
        <c:lblOffset val="100"/>
        <c:noMultiLvlLbl val="0"/>
      </c:catAx>
      <c:valAx>
        <c:axId val="191447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Reaction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8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177800</xdr:colOff>
      <xdr:row>10</xdr:row>
      <xdr:rowOff>12700</xdr:rowOff>
    </xdr:from>
    <xdr:to>
      <xdr:col>5</xdr:col>
      <xdr:colOff>647700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DCAD87-D993-4EFD-CACD-C4B2982D0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406400</xdr:colOff>
      <xdr:row>10</xdr:row>
      <xdr:rowOff>0</xdr:rowOff>
    </xdr:from>
    <xdr:to>
      <xdr:col>14</xdr:col>
      <xdr:colOff>406400</xdr:colOff>
      <xdr:row>28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624B6A-0B80-3D5E-D92D-7A1B393A0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2AB1-260F-0A4D-9A63-29D2B594E9DE}">
  <dimension ref="A1:D9"/>
  <sheetViews>
    <sheetView tabSelected="1" workbookViewId="0">
      <selection activeCell="B35" sqref="B35"/>
    </sheetView>
  </sheetViews>
  <sheetFormatPr baseColWidth="10" defaultRowHeight="16" x14ac:dyDescent="0.2"/>
  <cols>
    <col min="1" max="1" width="13" bestFit="1" customWidth="1"/>
    <col min="2" max="2" width="21" bestFit="1" customWidth="1"/>
    <col min="3" max="4" width="18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s="1">
        <v>0.53108498000000004</v>
      </c>
      <c r="C2" s="1">
        <v>0.56721738899999996</v>
      </c>
      <c r="D2">
        <f>C2-B2</f>
        <v>3.6132408999999921E-2</v>
      </c>
    </row>
    <row r="3" spans="1:4" x14ac:dyDescent="0.2">
      <c r="A3">
        <v>2</v>
      </c>
      <c r="B3" s="1">
        <v>0.53486937499999998</v>
      </c>
      <c r="C3" s="1">
        <v>0.65036848599999997</v>
      </c>
      <c r="D3">
        <f t="shared" ref="D3:D4" si="0">C3-B3</f>
        <v>0.11549911099999999</v>
      </c>
    </row>
    <row r="4" spans="1:4" x14ac:dyDescent="0.2">
      <c r="A4">
        <v>3</v>
      </c>
      <c r="B4" s="1">
        <v>0.68287687500000005</v>
      </c>
      <c r="C4" s="1">
        <v>0.84517520899999998</v>
      </c>
      <c r="D4">
        <f t="shared" si="0"/>
        <v>0.16229833399999993</v>
      </c>
    </row>
    <row r="5" spans="1:4" x14ac:dyDescent="0.2">
      <c r="A5" t="s">
        <v>4</v>
      </c>
      <c r="B5">
        <f>AVERAGE(B2:B4)</f>
        <v>0.58294374333333343</v>
      </c>
      <c r="C5">
        <f>AVERAGE(C2:C4)</f>
        <v>0.68758702799999993</v>
      </c>
      <c r="D5">
        <f>AVERAGE(D2:D4)</f>
        <v>0.10464328466666661</v>
      </c>
    </row>
    <row r="7" spans="1:4" x14ac:dyDescent="0.2">
      <c r="A7" t="s">
        <v>5</v>
      </c>
      <c r="B7">
        <f>_xlfn.STDEV.S(D2:D4)</f>
        <v>6.377967451948173E-2</v>
      </c>
    </row>
    <row r="8" spans="1:4" x14ac:dyDescent="0.2">
      <c r="A8" t="s">
        <v>6</v>
      </c>
      <c r="B8">
        <f>B7/SQRT(COUNT(D2:D4))</f>
        <v>3.6823212252649493E-2</v>
      </c>
    </row>
    <row r="9" spans="1:4" x14ac:dyDescent="0.2">
      <c r="A9" t="s">
        <v>7</v>
      </c>
      <c r="B9">
        <f>_xlfn.T.TEST(B2:B4, C2:C4, 2, 1)</f>
        <v>0.10473337233254121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09A0-9C4B-1F49-A155-EB88FAE20934}">
  <dimension ref="A1:AR47"/>
  <sheetViews>
    <sheetView workbookViewId="0">
      <selection activeCell="D54" sqref="D54"/>
    </sheetView>
  </sheetViews>
  <sheetFormatPr baseColWidth="10" defaultRowHeight="16" x14ac:dyDescent="0.2"/>
  <sheetData>
    <row r="1" spans="1:44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</row>
    <row r="2" spans="1:44" x14ac:dyDescent="0.2">
      <c r="S2">
        <v>6.9893300000000002E-3</v>
      </c>
      <c r="T2">
        <v>1.1078250012360499E-2</v>
      </c>
      <c r="U2">
        <v>1.01938320905901</v>
      </c>
      <c r="V2">
        <v>0.99906345899216797</v>
      </c>
      <c r="AJ2">
        <v>1</v>
      </c>
      <c r="AK2">
        <v>1</v>
      </c>
      <c r="AL2" t="s">
        <v>52</v>
      </c>
      <c r="AM2" t="s">
        <v>53</v>
      </c>
      <c r="AO2" t="s">
        <v>54</v>
      </c>
      <c r="AP2" t="s">
        <v>55</v>
      </c>
      <c r="AQ2" t="s">
        <v>56</v>
      </c>
    </row>
    <row r="3" spans="1:44" x14ac:dyDescent="0.2">
      <c r="A3" t="s">
        <v>57</v>
      </c>
      <c r="B3" t="s">
        <v>58</v>
      </c>
      <c r="C3" t="s">
        <v>59</v>
      </c>
      <c r="D3" t="s">
        <v>60</v>
      </c>
      <c r="E3" t="s">
        <v>61</v>
      </c>
      <c r="F3">
        <v>0</v>
      </c>
      <c r="G3">
        <v>0</v>
      </c>
      <c r="H3">
        <v>0</v>
      </c>
      <c r="I3" t="s">
        <v>61</v>
      </c>
      <c r="J3">
        <v>1</v>
      </c>
      <c r="K3">
        <v>0.93773375102318801</v>
      </c>
      <c r="L3" t="s">
        <v>55</v>
      </c>
      <c r="M3">
        <v>0</v>
      </c>
      <c r="N3">
        <v>0</v>
      </c>
      <c r="O3">
        <v>0</v>
      </c>
      <c r="P3">
        <v>1</v>
      </c>
      <c r="Q3">
        <v>1.01938320905901</v>
      </c>
      <c r="V3">
        <v>1.0158022090326899</v>
      </c>
      <c r="W3">
        <v>1.01938320905901</v>
      </c>
      <c r="X3">
        <v>1.50294949999079</v>
      </c>
      <c r="Y3">
        <v>1.50294949999079</v>
      </c>
      <c r="Z3">
        <v>1.50294949999079</v>
      </c>
      <c r="AA3">
        <v>2.6680496670305698</v>
      </c>
      <c r="AB3" t="s">
        <v>61</v>
      </c>
      <c r="AC3">
        <v>1</v>
      </c>
      <c r="AD3">
        <v>0.93773375102318801</v>
      </c>
      <c r="AE3" t="s">
        <v>55</v>
      </c>
      <c r="AJ3">
        <v>1</v>
      </c>
      <c r="AK3">
        <v>1</v>
      </c>
      <c r="AL3" t="s">
        <v>52</v>
      </c>
      <c r="AM3" t="s">
        <v>53</v>
      </c>
      <c r="AO3" t="s">
        <v>54</v>
      </c>
      <c r="AP3" t="s">
        <v>55</v>
      </c>
      <c r="AQ3" t="s">
        <v>56</v>
      </c>
    </row>
    <row r="4" spans="1:44" x14ac:dyDescent="0.2">
      <c r="A4" t="s">
        <v>57</v>
      </c>
      <c r="B4" t="s">
        <v>62</v>
      </c>
      <c r="C4" t="s">
        <v>63</v>
      </c>
      <c r="D4" t="s">
        <v>64</v>
      </c>
      <c r="E4" t="s">
        <v>65</v>
      </c>
      <c r="F4">
        <v>1</v>
      </c>
      <c r="G4">
        <v>1</v>
      </c>
      <c r="H4">
        <v>0</v>
      </c>
      <c r="I4" t="s">
        <v>65</v>
      </c>
      <c r="J4">
        <v>1</v>
      </c>
      <c r="K4">
        <v>0.45724508306011502</v>
      </c>
      <c r="L4" t="s">
        <v>55</v>
      </c>
      <c r="M4">
        <v>0</v>
      </c>
      <c r="N4">
        <v>1</v>
      </c>
      <c r="O4">
        <v>1</v>
      </c>
      <c r="P4">
        <v>0</v>
      </c>
      <c r="Q4">
        <v>2.6752926670014801</v>
      </c>
      <c r="V4">
        <v>2.66835187503602</v>
      </c>
      <c r="W4">
        <v>2.6752926670014801</v>
      </c>
      <c r="X4">
        <v>3.1637479170458298</v>
      </c>
      <c r="Y4">
        <v>3.1637479170458298</v>
      </c>
      <c r="Z4">
        <v>3.1637479170458298</v>
      </c>
      <c r="AA4">
        <v>3.62674029194749</v>
      </c>
      <c r="AB4" t="s">
        <v>65</v>
      </c>
      <c r="AC4">
        <v>1</v>
      </c>
      <c r="AD4">
        <v>0.45724508306011502</v>
      </c>
      <c r="AE4" t="s">
        <v>55</v>
      </c>
      <c r="AJ4">
        <v>1</v>
      </c>
      <c r="AK4">
        <v>1</v>
      </c>
      <c r="AL4" t="s">
        <v>52</v>
      </c>
      <c r="AM4" t="s">
        <v>53</v>
      </c>
      <c r="AO4" t="s">
        <v>54</v>
      </c>
      <c r="AP4" t="s">
        <v>55</v>
      </c>
      <c r="AQ4" t="s">
        <v>56</v>
      </c>
    </row>
    <row r="5" spans="1:44" x14ac:dyDescent="0.2">
      <c r="A5" t="s">
        <v>66</v>
      </c>
      <c r="B5" t="s">
        <v>58</v>
      </c>
      <c r="C5" t="s">
        <v>63</v>
      </c>
      <c r="D5" t="s">
        <v>64</v>
      </c>
      <c r="E5" t="s">
        <v>61</v>
      </c>
      <c r="F5">
        <v>2</v>
      </c>
      <c r="G5">
        <v>2</v>
      </c>
      <c r="H5">
        <v>0</v>
      </c>
      <c r="I5" t="s">
        <v>61</v>
      </c>
      <c r="J5">
        <v>1</v>
      </c>
      <c r="K5">
        <v>0.67021091701462798</v>
      </c>
      <c r="L5" t="s">
        <v>55</v>
      </c>
      <c r="M5">
        <v>0</v>
      </c>
      <c r="N5">
        <v>2</v>
      </c>
      <c r="O5">
        <v>2</v>
      </c>
      <c r="P5">
        <v>3</v>
      </c>
      <c r="Q5">
        <v>3.63608641701284</v>
      </c>
      <c r="V5">
        <v>3.6317729169968498</v>
      </c>
      <c r="W5">
        <v>3.63608641701284</v>
      </c>
      <c r="X5">
        <v>4.1236361670307797</v>
      </c>
      <c r="Y5">
        <v>4.1236361670307797</v>
      </c>
      <c r="Z5">
        <v>4.1236361670307797</v>
      </c>
      <c r="AA5">
        <v>4.7995743340579704</v>
      </c>
      <c r="AB5" t="s">
        <v>61</v>
      </c>
      <c r="AC5">
        <v>1</v>
      </c>
      <c r="AD5">
        <v>0.67021091701462798</v>
      </c>
      <c r="AE5" t="s">
        <v>55</v>
      </c>
      <c r="AJ5">
        <v>1</v>
      </c>
      <c r="AK5">
        <v>1</v>
      </c>
      <c r="AL5" t="s">
        <v>52</v>
      </c>
      <c r="AM5" t="s">
        <v>53</v>
      </c>
      <c r="AO5" t="s">
        <v>54</v>
      </c>
      <c r="AP5" t="s">
        <v>55</v>
      </c>
      <c r="AQ5" t="s">
        <v>56</v>
      </c>
    </row>
    <row r="6" spans="1:44" x14ac:dyDescent="0.2">
      <c r="A6" t="s">
        <v>66</v>
      </c>
      <c r="B6" t="s">
        <v>62</v>
      </c>
      <c r="C6" t="s">
        <v>59</v>
      </c>
      <c r="D6" t="s">
        <v>60</v>
      </c>
      <c r="E6" t="s">
        <v>65</v>
      </c>
      <c r="F6">
        <v>3</v>
      </c>
      <c r="G6">
        <v>3</v>
      </c>
      <c r="H6">
        <v>0</v>
      </c>
      <c r="I6" t="s">
        <v>65</v>
      </c>
      <c r="J6">
        <v>1</v>
      </c>
      <c r="K6">
        <v>0.50516141706611895</v>
      </c>
      <c r="L6" t="s">
        <v>55</v>
      </c>
      <c r="M6">
        <v>0</v>
      </c>
      <c r="N6">
        <v>3</v>
      </c>
      <c r="O6">
        <v>3</v>
      </c>
      <c r="P6">
        <v>2</v>
      </c>
      <c r="Q6">
        <v>4.8062685839831802</v>
      </c>
      <c r="V6">
        <v>4.8000273749930704</v>
      </c>
      <c r="W6">
        <v>4.8062685839831802</v>
      </c>
      <c r="X6">
        <v>5.2977023799999996</v>
      </c>
      <c r="Y6">
        <v>5.2977023799999996</v>
      </c>
      <c r="Z6">
        <v>5.2977023799999996</v>
      </c>
      <c r="AA6">
        <v>5.8101966699999998</v>
      </c>
      <c r="AB6" t="s">
        <v>65</v>
      </c>
      <c r="AC6">
        <v>1</v>
      </c>
      <c r="AD6">
        <v>0.50516141706611895</v>
      </c>
      <c r="AE6" t="s">
        <v>55</v>
      </c>
      <c r="AJ6">
        <v>1</v>
      </c>
      <c r="AK6">
        <v>1</v>
      </c>
      <c r="AL6" t="s">
        <v>52</v>
      </c>
      <c r="AM6" t="s">
        <v>53</v>
      </c>
      <c r="AO6" t="s">
        <v>54</v>
      </c>
      <c r="AP6" t="s">
        <v>55</v>
      </c>
      <c r="AQ6" t="s">
        <v>56</v>
      </c>
    </row>
    <row r="7" spans="1:44" x14ac:dyDescent="0.2">
      <c r="A7" t="s">
        <v>66</v>
      </c>
      <c r="B7" t="s">
        <v>62</v>
      </c>
      <c r="C7" t="s">
        <v>59</v>
      </c>
      <c r="D7" t="s">
        <v>60</v>
      </c>
      <c r="E7" t="s">
        <v>65</v>
      </c>
      <c r="F7">
        <v>4</v>
      </c>
      <c r="G7">
        <v>0</v>
      </c>
      <c r="H7">
        <v>1</v>
      </c>
      <c r="I7" t="s">
        <v>65</v>
      </c>
      <c r="J7">
        <v>1</v>
      </c>
      <c r="K7">
        <v>0.35120887507218801</v>
      </c>
      <c r="L7" t="s">
        <v>55</v>
      </c>
      <c r="M7">
        <v>1</v>
      </c>
      <c r="N7">
        <v>0</v>
      </c>
      <c r="O7">
        <v>4</v>
      </c>
      <c r="P7">
        <v>2</v>
      </c>
      <c r="Q7">
        <v>5.8162303299999998</v>
      </c>
      <c r="W7">
        <v>5.8106349590234396</v>
      </c>
      <c r="X7">
        <v>5.8162303299999998</v>
      </c>
      <c r="Y7">
        <v>6.3065338750602598</v>
      </c>
      <c r="Z7">
        <v>6.3065338750602598</v>
      </c>
      <c r="AA7">
        <v>6.3065338750602598</v>
      </c>
      <c r="AB7">
        <v>6.6606050420086804</v>
      </c>
      <c r="AC7" t="s">
        <v>65</v>
      </c>
      <c r="AD7">
        <v>1</v>
      </c>
      <c r="AE7">
        <v>0.35120887507218801</v>
      </c>
      <c r="AF7" t="s">
        <v>55</v>
      </c>
      <c r="AK7">
        <v>1</v>
      </c>
      <c r="AL7">
        <v>1</v>
      </c>
      <c r="AM7" t="s">
        <v>52</v>
      </c>
      <c r="AN7" t="s">
        <v>53</v>
      </c>
      <c r="AP7" t="s">
        <v>54</v>
      </c>
      <c r="AQ7" t="s">
        <v>55</v>
      </c>
      <c r="AR7" t="s">
        <v>56</v>
      </c>
    </row>
    <row r="8" spans="1:44" x14ac:dyDescent="0.2">
      <c r="A8" t="s">
        <v>57</v>
      </c>
      <c r="B8" t="s">
        <v>58</v>
      </c>
      <c r="C8" t="s">
        <v>59</v>
      </c>
      <c r="D8" t="s">
        <v>60</v>
      </c>
      <c r="E8" t="s">
        <v>61</v>
      </c>
      <c r="F8">
        <v>5</v>
      </c>
      <c r="G8">
        <v>1</v>
      </c>
      <c r="H8">
        <v>1</v>
      </c>
      <c r="I8" t="s">
        <v>61</v>
      </c>
      <c r="J8">
        <v>1</v>
      </c>
      <c r="K8">
        <v>0.52278612999999996</v>
      </c>
      <c r="L8" t="s">
        <v>55</v>
      </c>
      <c r="M8">
        <v>1</v>
      </c>
      <c r="N8">
        <v>1</v>
      </c>
      <c r="O8">
        <v>5</v>
      </c>
      <c r="P8">
        <v>1</v>
      </c>
      <c r="Q8">
        <v>6.6752567899999997</v>
      </c>
      <c r="W8">
        <v>6.6628482500091097</v>
      </c>
      <c r="X8">
        <v>6.6752567899999997</v>
      </c>
      <c r="Y8">
        <v>7.1569775840034699</v>
      </c>
      <c r="Z8">
        <v>7.1569775840034699</v>
      </c>
      <c r="AA8">
        <v>7.1569775840034699</v>
      </c>
      <c r="AB8">
        <v>7.6825809590518404</v>
      </c>
      <c r="AC8" t="s">
        <v>61</v>
      </c>
      <c r="AD8">
        <v>1</v>
      </c>
      <c r="AE8">
        <v>0.52278612999999996</v>
      </c>
      <c r="AF8" t="s">
        <v>55</v>
      </c>
      <c r="AK8">
        <v>1</v>
      </c>
      <c r="AL8">
        <v>1</v>
      </c>
      <c r="AM8" t="s">
        <v>52</v>
      </c>
      <c r="AN8" t="s">
        <v>53</v>
      </c>
      <c r="AP8" t="s">
        <v>54</v>
      </c>
      <c r="AQ8" t="s">
        <v>55</v>
      </c>
      <c r="AR8" t="s">
        <v>56</v>
      </c>
    </row>
    <row r="9" spans="1:44" x14ac:dyDescent="0.2">
      <c r="A9" t="s">
        <v>57</v>
      </c>
      <c r="B9" t="s">
        <v>62</v>
      </c>
      <c r="C9" t="s">
        <v>63</v>
      </c>
      <c r="D9" t="s">
        <v>64</v>
      </c>
      <c r="E9" t="s">
        <v>65</v>
      </c>
      <c r="F9">
        <v>6</v>
      </c>
      <c r="G9">
        <v>2</v>
      </c>
      <c r="H9">
        <v>1</v>
      </c>
      <c r="I9" t="s">
        <v>65</v>
      </c>
      <c r="J9">
        <v>1</v>
      </c>
      <c r="K9">
        <v>0.634802166954614</v>
      </c>
      <c r="L9" t="s">
        <v>55</v>
      </c>
      <c r="M9">
        <v>1</v>
      </c>
      <c r="N9">
        <v>2</v>
      </c>
      <c r="O9">
        <v>6</v>
      </c>
      <c r="P9">
        <v>0</v>
      </c>
      <c r="Q9">
        <v>7.6896164170466301</v>
      </c>
      <c r="V9">
        <v>7.6830345420166797</v>
      </c>
      <c r="W9">
        <v>7.6896164170466301</v>
      </c>
      <c r="X9">
        <v>8.1809834169689495</v>
      </c>
      <c r="Y9">
        <v>8.1809834169689495</v>
      </c>
      <c r="Z9">
        <v>8.1809834169689495</v>
      </c>
      <c r="AA9">
        <v>8.8167837900000006</v>
      </c>
      <c r="AB9" t="s">
        <v>65</v>
      </c>
      <c r="AC9">
        <v>1</v>
      </c>
      <c r="AD9">
        <v>0.634802166954614</v>
      </c>
      <c r="AE9" t="s">
        <v>55</v>
      </c>
      <c r="AJ9">
        <v>1</v>
      </c>
      <c r="AK9">
        <v>1</v>
      </c>
      <c r="AL9" t="s">
        <v>52</v>
      </c>
      <c r="AM9" t="s">
        <v>53</v>
      </c>
      <c r="AO9" t="s">
        <v>54</v>
      </c>
      <c r="AP9" t="s">
        <v>55</v>
      </c>
      <c r="AQ9" t="s">
        <v>56</v>
      </c>
    </row>
    <row r="10" spans="1:44" x14ac:dyDescent="0.2">
      <c r="A10" t="s">
        <v>66</v>
      </c>
      <c r="B10" t="s">
        <v>58</v>
      </c>
      <c r="C10" t="s">
        <v>63</v>
      </c>
      <c r="D10" t="s">
        <v>64</v>
      </c>
      <c r="E10" t="s">
        <v>61</v>
      </c>
      <c r="F10">
        <v>7</v>
      </c>
      <c r="G10">
        <v>3</v>
      </c>
      <c r="H10">
        <v>1</v>
      </c>
      <c r="I10" t="s">
        <v>61</v>
      </c>
      <c r="J10">
        <v>1</v>
      </c>
      <c r="K10">
        <v>0.50959904200863004</v>
      </c>
      <c r="L10" t="s">
        <v>55</v>
      </c>
      <c r="M10">
        <v>1</v>
      </c>
      <c r="N10">
        <v>3</v>
      </c>
      <c r="O10">
        <v>7</v>
      </c>
      <c r="P10">
        <v>3</v>
      </c>
      <c r="Q10">
        <v>8.8247275419998896</v>
      </c>
      <c r="V10">
        <v>8.8189621299999992</v>
      </c>
      <c r="W10">
        <v>8.8247275419998896</v>
      </c>
      <c r="X10">
        <v>9.3142825840041006</v>
      </c>
      <c r="Y10">
        <v>9.3142825840041006</v>
      </c>
      <c r="Z10">
        <v>9.3142825840041006</v>
      </c>
      <c r="AA10">
        <v>9.8274693299999996</v>
      </c>
      <c r="AB10" t="s">
        <v>61</v>
      </c>
      <c r="AC10">
        <v>1</v>
      </c>
      <c r="AD10">
        <v>0.50959904200863004</v>
      </c>
      <c r="AE10" t="s">
        <v>55</v>
      </c>
      <c r="AJ10">
        <v>1</v>
      </c>
      <c r="AK10">
        <v>1</v>
      </c>
      <c r="AL10" t="s">
        <v>52</v>
      </c>
      <c r="AM10" t="s">
        <v>53</v>
      </c>
      <c r="AO10" t="s">
        <v>54</v>
      </c>
      <c r="AP10" t="s">
        <v>55</v>
      </c>
      <c r="AQ10" t="s">
        <v>56</v>
      </c>
    </row>
    <row r="11" spans="1:44" x14ac:dyDescent="0.2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>
        <v>8</v>
      </c>
      <c r="G11">
        <v>0</v>
      </c>
      <c r="H11">
        <v>2</v>
      </c>
      <c r="I11" t="s">
        <v>61</v>
      </c>
      <c r="J11">
        <v>1</v>
      </c>
      <c r="K11">
        <v>0.61277232999999998</v>
      </c>
      <c r="L11" t="s">
        <v>55</v>
      </c>
      <c r="M11">
        <v>2</v>
      </c>
      <c r="N11">
        <v>0</v>
      </c>
      <c r="O11">
        <v>8</v>
      </c>
      <c r="P11">
        <v>1</v>
      </c>
      <c r="Q11">
        <v>9.8355611249571595</v>
      </c>
      <c r="V11">
        <v>9.8296775400000005</v>
      </c>
      <c r="W11">
        <v>9.8355611249571595</v>
      </c>
      <c r="X11">
        <v>10.3230515839532</v>
      </c>
      <c r="Y11">
        <v>10.3230515839532</v>
      </c>
      <c r="Z11">
        <v>10.3230515839532</v>
      </c>
      <c r="AA11">
        <v>10.9437262499704</v>
      </c>
      <c r="AB11" t="s">
        <v>61</v>
      </c>
      <c r="AC11">
        <v>1</v>
      </c>
      <c r="AD11">
        <v>0.61277232999999998</v>
      </c>
      <c r="AE11" t="s">
        <v>55</v>
      </c>
      <c r="AJ11">
        <v>1</v>
      </c>
      <c r="AK11">
        <v>1</v>
      </c>
      <c r="AL11" t="s">
        <v>52</v>
      </c>
      <c r="AM11" t="s">
        <v>53</v>
      </c>
      <c r="AO11" t="s">
        <v>54</v>
      </c>
      <c r="AP11" t="s">
        <v>55</v>
      </c>
      <c r="AQ11" t="s">
        <v>56</v>
      </c>
    </row>
    <row r="12" spans="1:44" x14ac:dyDescent="0.2">
      <c r="A12" t="s">
        <v>57</v>
      </c>
      <c r="B12" t="s">
        <v>62</v>
      </c>
      <c r="C12" t="s">
        <v>63</v>
      </c>
      <c r="D12" t="s">
        <v>64</v>
      </c>
      <c r="E12" t="s">
        <v>65</v>
      </c>
      <c r="F12">
        <v>9</v>
      </c>
      <c r="G12">
        <v>1</v>
      </c>
      <c r="H12">
        <v>2</v>
      </c>
      <c r="I12" t="s">
        <v>65</v>
      </c>
      <c r="J12">
        <v>1</v>
      </c>
      <c r="K12">
        <v>0.55249579000000004</v>
      </c>
      <c r="L12" t="s">
        <v>55</v>
      </c>
      <c r="M12">
        <v>2</v>
      </c>
      <c r="N12">
        <v>1</v>
      </c>
      <c r="O12">
        <v>9</v>
      </c>
      <c r="P12">
        <v>0</v>
      </c>
      <c r="Q12">
        <v>10.9498527500545</v>
      </c>
      <c r="V12">
        <v>10.9441612090449</v>
      </c>
      <c r="W12">
        <v>10.9498527500545</v>
      </c>
      <c r="X12">
        <v>11.4404656670521</v>
      </c>
      <c r="Y12">
        <v>11.4404656670521</v>
      </c>
      <c r="Z12">
        <v>11.4404656670521</v>
      </c>
      <c r="AA12">
        <v>11.993856249959199</v>
      </c>
      <c r="AB12" t="s">
        <v>65</v>
      </c>
      <c r="AC12">
        <v>1</v>
      </c>
      <c r="AD12">
        <v>0.55249579000000004</v>
      </c>
      <c r="AE12" t="s">
        <v>55</v>
      </c>
      <c r="AJ12">
        <v>1</v>
      </c>
      <c r="AK12">
        <v>1</v>
      </c>
      <c r="AL12" t="s">
        <v>52</v>
      </c>
      <c r="AM12" t="s">
        <v>53</v>
      </c>
      <c r="AO12" t="s">
        <v>54</v>
      </c>
      <c r="AP12" t="s">
        <v>55</v>
      </c>
      <c r="AQ12" t="s">
        <v>56</v>
      </c>
    </row>
    <row r="13" spans="1:44" x14ac:dyDescent="0.2">
      <c r="A13" t="s">
        <v>66</v>
      </c>
      <c r="B13" t="s">
        <v>58</v>
      </c>
      <c r="C13" t="s">
        <v>63</v>
      </c>
      <c r="D13" t="s">
        <v>64</v>
      </c>
      <c r="E13" t="s">
        <v>61</v>
      </c>
      <c r="F13">
        <v>10</v>
      </c>
      <c r="G13">
        <v>2</v>
      </c>
      <c r="H13">
        <v>2</v>
      </c>
      <c r="I13" t="s">
        <v>61</v>
      </c>
      <c r="J13">
        <v>1</v>
      </c>
      <c r="K13">
        <v>0.53416187502443702</v>
      </c>
      <c r="L13" t="s">
        <v>55</v>
      </c>
      <c r="M13">
        <v>2</v>
      </c>
      <c r="N13">
        <v>2</v>
      </c>
      <c r="O13">
        <v>10</v>
      </c>
      <c r="P13">
        <v>3</v>
      </c>
      <c r="Q13">
        <v>11.999859042000001</v>
      </c>
      <c r="V13">
        <v>11.9960335840005</v>
      </c>
      <c r="W13">
        <v>11.999859042000001</v>
      </c>
      <c r="X13">
        <v>12.4905936249997</v>
      </c>
      <c r="Y13">
        <v>12.4905936249997</v>
      </c>
      <c r="Z13">
        <v>12.4905936249997</v>
      </c>
      <c r="AA13">
        <v>13.0269448750186</v>
      </c>
      <c r="AB13" t="s">
        <v>61</v>
      </c>
      <c r="AC13">
        <v>1</v>
      </c>
      <c r="AD13">
        <v>0.53416187502443702</v>
      </c>
      <c r="AE13" t="s">
        <v>55</v>
      </c>
      <c r="AJ13">
        <v>1</v>
      </c>
      <c r="AK13">
        <v>1</v>
      </c>
      <c r="AL13" t="s">
        <v>52</v>
      </c>
      <c r="AM13" t="s">
        <v>53</v>
      </c>
      <c r="AO13" t="s">
        <v>54</v>
      </c>
      <c r="AP13" t="s">
        <v>55</v>
      </c>
      <c r="AQ13" t="s">
        <v>56</v>
      </c>
    </row>
    <row r="14" spans="1:44" x14ac:dyDescent="0.2">
      <c r="A14" t="s">
        <v>66</v>
      </c>
      <c r="B14" t="s">
        <v>62</v>
      </c>
      <c r="C14" t="s">
        <v>59</v>
      </c>
      <c r="D14" t="s">
        <v>60</v>
      </c>
      <c r="E14" t="s">
        <v>65</v>
      </c>
      <c r="F14">
        <v>11</v>
      </c>
      <c r="G14">
        <v>3</v>
      </c>
      <c r="H14">
        <v>2</v>
      </c>
      <c r="I14" t="s">
        <v>65</v>
      </c>
      <c r="J14">
        <v>1</v>
      </c>
      <c r="K14">
        <v>0.47933187498711</v>
      </c>
      <c r="L14" t="s">
        <v>55</v>
      </c>
      <c r="M14">
        <v>2</v>
      </c>
      <c r="N14">
        <v>3</v>
      </c>
      <c r="O14">
        <v>11</v>
      </c>
      <c r="P14">
        <v>2</v>
      </c>
      <c r="Q14">
        <v>13.031179041950899</v>
      </c>
      <c r="V14">
        <v>13.0273836669512</v>
      </c>
      <c r="W14">
        <v>13.031179041950899</v>
      </c>
      <c r="X14">
        <v>13.523644166998499</v>
      </c>
      <c r="Y14">
        <v>13.523644166998499</v>
      </c>
      <c r="Z14">
        <v>13.523644166998499</v>
      </c>
      <c r="AA14">
        <v>14.0103344</v>
      </c>
      <c r="AB14" t="s">
        <v>65</v>
      </c>
      <c r="AC14">
        <v>1</v>
      </c>
      <c r="AD14">
        <v>0.47933187498711</v>
      </c>
      <c r="AE14" t="s">
        <v>55</v>
      </c>
      <c r="AJ14">
        <v>1</v>
      </c>
      <c r="AK14">
        <v>1</v>
      </c>
      <c r="AL14" t="s">
        <v>52</v>
      </c>
      <c r="AM14" t="s">
        <v>53</v>
      </c>
      <c r="AO14" t="s">
        <v>54</v>
      </c>
      <c r="AP14" t="s">
        <v>55</v>
      </c>
      <c r="AQ14" t="s">
        <v>56</v>
      </c>
    </row>
    <row r="15" spans="1:44" x14ac:dyDescent="0.2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>
        <v>12</v>
      </c>
      <c r="G15">
        <v>0</v>
      </c>
      <c r="H15">
        <v>3</v>
      </c>
      <c r="I15" t="s">
        <v>61</v>
      </c>
      <c r="J15">
        <v>1</v>
      </c>
      <c r="K15">
        <v>0.60268124996218797</v>
      </c>
      <c r="L15" t="s">
        <v>55</v>
      </c>
      <c r="M15">
        <v>3</v>
      </c>
      <c r="N15">
        <v>0</v>
      </c>
      <c r="O15">
        <v>12</v>
      </c>
      <c r="P15">
        <v>1</v>
      </c>
      <c r="Q15">
        <v>14.018318917020199</v>
      </c>
      <c r="V15">
        <v>14.0125858340179</v>
      </c>
      <c r="W15">
        <v>14.018318917020199</v>
      </c>
      <c r="X15">
        <v>14.507194124977101</v>
      </c>
      <c r="Y15">
        <v>14.507194124977101</v>
      </c>
      <c r="Z15">
        <v>14.507194124977101</v>
      </c>
      <c r="AA15">
        <v>15.110933250049101</v>
      </c>
      <c r="AB15" t="s">
        <v>61</v>
      </c>
      <c r="AC15">
        <v>1</v>
      </c>
      <c r="AD15">
        <v>0.60268124996218797</v>
      </c>
      <c r="AE15" t="s">
        <v>55</v>
      </c>
      <c r="AJ15">
        <v>1</v>
      </c>
      <c r="AK15">
        <v>1</v>
      </c>
      <c r="AL15" t="s">
        <v>52</v>
      </c>
      <c r="AM15" t="s">
        <v>53</v>
      </c>
      <c r="AO15" t="s">
        <v>54</v>
      </c>
      <c r="AP15" t="s">
        <v>55</v>
      </c>
      <c r="AQ15" t="s">
        <v>56</v>
      </c>
    </row>
    <row r="16" spans="1:44" x14ac:dyDescent="0.2">
      <c r="A16" t="s">
        <v>57</v>
      </c>
      <c r="B16" t="s">
        <v>62</v>
      </c>
      <c r="C16" t="s">
        <v>63</v>
      </c>
      <c r="D16" t="s">
        <v>64</v>
      </c>
      <c r="E16" t="s">
        <v>65</v>
      </c>
      <c r="F16">
        <v>13</v>
      </c>
      <c r="G16">
        <v>1</v>
      </c>
      <c r="H16">
        <v>3</v>
      </c>
      <c r="I16" t="s">
        <v>65</v>
      </c>
      <c r="J16">
        <v>1</v>
      </c>
      <c r="K16">
        <v>0.50833475100807801</v>
      </c>
      <c r="L16" t="s">
        <v>55</v>
      </c>
      <c r="M16">
        <v>3</v>
      </c>
      <c r="N16">
        <v>1</v>
      </c>
      <c r="O16">
        <v>13</v>
      </c>
      <c r="P16">
        <v>0</v>
      </c>
      <c r="Q16">
        <v>15.115421999944299</v>
      </c>
      <c r="V16">
        <v>15.1115683340467</v>
      </c>
      <c r="W16">
        <v>15.115421999944299</v>
      </c>
      <c r="X16">
        <v>15.607526000007001</v>
      </c>
      <c r="Y16">
        <v>15.607526000007001</v>
      </c>
      <c r="Z16">
        <v>15.607526000007001</v>
      </c>
      <c r="AA16">
        <v>16.127551084035002</v>
      </c>
      <c r="AB16" t="s">
        <v>65</v>
      </c>
      <c r="AC16">
        <v>1</v>
      </c>
      <c r="AD16">
        <v>0.50833475100807801</v>
      </c>
      <c r="AE16" t="s">
        <v>55</v>
      </c>
      <c r="AJ16">
        <v>1</v>
      </c>
      <c r="AK16">
        <v>1</v>
      </c>
      <c r="AL16" t="s">
        <v>52</v>
      </c>
      <c r="AM16" t="s">
        <v>53</v>
      </c>
      <c r="AO16" t="s">
        <v>54</v>
      </c>
      <c r="AP16" t="s">
        <v>55</v>
      </c>
      <c r="AQ16" t="s">
        <v>56</v>
      </c>
    </row>
    <row r="17" spans="1:43" x14ac:dyDescent="0.2">
      <c r="A17" t="s">
        <v>66</v>
      </c>
      <c r="B17" t="s">
        <v>58</v>
      </c>
      <c r="C17" t="s">
        <v>63</v>
      </c>
      <c r="D17" t="s">
        <v>64</v>
      </c>
      <c r="E17" t="s">
        <v>61</v>
      </c>
      <c r="F17">
        <v>14</v>
      </c>
      <c r="G17">
        <v>2</v>
      </c>
      <c r="H17">
        <v>3</v>
      </c>
      <c r="I17" t="s">
        <v>61</v>
      </c>
      <c r="J17">
        <v>1</v>
      </c>
      <c r="K17">
        <v>0.45853533409535802</v>
      </c>
      <c r="L17" t="s">
        <v>55</v>
      </c>
      <c r="M17">
        <v>3</v>
      </c>
      <c r="N17">
        <v>2</v>
      </c>
      <c r="O17">
        <v>14</v>
      </c>
      <c r="P17">
        <v>3</v>
      </c>
      <c r="Q17">
        <v>16.135445334017199</v>
      </c>
      <c r="V17">
        <v>16.129883749992501</v>
      </c>
      <c r="W17">
        <v>16.135445334017199</v>
      </c>
      <c r="X17">
        <v>16.623320374986999</v>
      </c>
      <c r="Y17">
        <v>16.623320374986999</v>
      </c>
      <c r="Z17">
        <v>16.623320374986999</v>
      </c>
      <c r="AA17">
        <v>17.084082458983101</v>
      </c>
      <c r="AB17" t="s">
        <v>61</v>
      </c>
      <c r="AC17">
        <v>1</v>
      </c>
      <c r="AD17">
        <v>0.45853533409535802</v>
      </c>
      <c r="AE17" t="s">
        <v>55</v>
      </c>
      <c r="AJ17">
        <v>1</v>
      </c>
      <c r="AK17">
        <v>1</v>
      </c>
      <c r="AL17" t="s">
        <v>52</v>
      </c>
      <c r="AM17" t="s">
        <v>53</v>
      </c>
      <c r="AO17" t="s">
        <v>54</v>
      </c>
      <c r="AP17" t="s">
        <v>55</v>
      </c>
      <c r="AQ17" t="s">
        <v>56</v>
      </c>
    </row>
    <row r="18" spans="1:43" x14ac:dyDescent="0.2">
      <c r="A18" t="s">
        <v>66</v>
      </c>
      <c r="B18" t="s">
        <v>62</v>
      </c>
      <c r="C18" t="s">
        <v>59</v>
      </c>
      <c r="D18" t="s">
        <v>60</v>
      </c>
      <c r="E18" t="s">
        <v>65</v>
      </c>
      <c r="F18">
        <v>15</v>
      </c>
      <c r="G18">
        <v>3</v>
      </c>
      <c r="H18">
        <v>3</v>
      </c>
      <c r="I18" t="s">
        <v>65</v>
      </c>
      <c r="J18">
        <v>1</v>
      </c>
      <c r="K18">
        <v>0.53541787504218497</v>
      </c>
      <c r="L18" t="s">
        <v>55</v>
      </c>
      <c r="M18">
        <v>3</v>
      </c>
      <c r="N18">
        <v>3</v>
      </c>
      <c r="O18">
        <v>15</v>
      </c>
      <c r="P18">
        <v>2</v>
      </c>
      <c r="Q18">
        <v>17.090072292019599</v>
      </c>
      <c r="V18">
        <v>17.084515125025</v>
      </c>
      <c r="W18">
        <v>17.090072292019599</v>
      </c>
      <c r="X18">
        <v>17.581589375040402</v>
      </c>
      <c r="Y18">
        <v>17.581589375040402</v>
      </c>
      <c r="Z18">
        <v>17.581589375040402</v>
      </c>
      <c r="AA18">
        <v>18.1274616250302</v>
      </c>
      <c r="AB18" t="s">
        <v>65</v>
      </c>
      <c r="AC18">
        <v>1</v>
      </c>
      <c r="AD18">
        <v>0.53541787504218497</v>
      </c>
      <c r="AE18" t="s">
        <v>55</v>
      </c>
      <c r="AJ18">
        <v>1</v>
      </c>
      <c r="AK18">
        <v>1</v>
      </c>
      <c r="AL18" t="s">
        <v>52</v>
      </c>
      <c r="AM18" t="s">
        <v>53</v>
      </c>
      <c r="AO18" t="s">
        <v>54</v>
      </c>
      <c r="AP18" t="s">
        <v>55</v>
      </c>
      <c r="AQ18" t="s">
        <v>56</v>
      </c>
    </row>
    <row r="19" spans="1:43" x14ac:dyDescent="0.2">
      <c r="A19" t="s">
        <v>66</v>
      </c>
      <c r="B19" t="s">
        <v>62</v>
      </c>
      <c r="C19" t="s">
        <v>59</v>
      </c>
      <c r="D19" t="s">
        <v>60</v>
      </c>
      <c r="E19" t="s">
        <v>65</v>
      </c>
      <c r="F19">
        <v>16</v>
      </c>
      <c r="G19">
        <v>0</v>
      </c>
      <c r="H19">
        <v>4</v>
      </c>
      <c r="I19" t="s">
        <v>65</v>
      </c>
      <c r="J19">
        <v>1</v>
      </c>
      <c r="K19">
        <v>0.56609370999999997</v>
      </c>
      <c r="L19" t="s">
        <v>55</v>
      </c>
      <c r="M19">
        <v>4</v>
      </c>
      <c r="N19">
        <v>0</v>
      </c>
      <c r="O19">
        <v>16</v>
      </c>
      <c r="P19">
        <v>2</v>
      </c>
      <c r="Q19">
        <v>18.133551917038801</v>
      </c>
      <c r="V19">
        <v>18.127894166973402</v>
      </c>
      <c r="W19">
        <v>18.133551917038801</v>
      </c>
      <c r="X19">
        <v>18.623897542012799</v>
      </c>
      <c r="Y19">
        <v>18.623897542012799</v>
      </c>
      <c r="Z19">
        <v>18.623897542012799</v>
      </c>
      <c r="AA19">
        <v>19.1945714999455</v>
      </c>
      <c r="AB19" t="s">
        <v>65</v>
      </c>
      <c r="AC19">
        <v>1</v>
      </c>
      <c r="AD19">
        <v>0.56609370999999997</v>
      </c>
      <c r="AE19" t="s">
        <v>55</v>
      </c>
      <c r="AJ19">
        <v>1</v>
      </c>
      <c r="AK19">
        <v>1</v>
      </c>
      <c r="AL19" t="s">
        <v>52</v>
      </c>
      <c r="AM19" t="s">
        <v>53</v>
      </c>
      <c r="AO19" t="s">
        <v>54</v>
      </c>
      <c r="AP19" t="s">
        <v>55</v>
      </c>
      <c r="AQ19" t="s">
        <v>56</v>
      </c>
    </row>
    <row r="20" spans="1:43" x14ac:dyDescent="0.2">
      <c r="A20" t="s">
        <v>57</v>
      </c>
      <c r="B20" t="s">
        <v>62</v>
      </c>
      <c r="C20" t="s">
        <v>63</v>
      </c>
      <c r="D20" t="s">
        <v>64</v>
      </c>
      <c r="E20" t="s">
        <v>65</v>
      </c>
      <c r="F20">
        <v>17</v>
      </c>
      <c r="G20">
        <v>1</v>
      </c>
      <c r="H20">
        <v>4</v>
      </c>
      <c r="I20" t="s">
        <v>65</v>
      </c>
      <c r="J20">
        <v>1</v>
      </c>
      <c r="K20">
        <v>0.454970083083026</v>
      </c>
      <c r="L20" t="s">
        <v>55</v>
      </c>
      <c r="M20">
        <v>4</v>
      </c>
      <c r="N20">
        <v>1</v>
      </c>
      <c r="O20">
        <v>17</v>
      </c>
      <c r="P20">
        <v>0</v>
      </c>
      <c r="Q20">
        <v>19.202582958969199</v>
      </c>
      <c r="V20">
        <v>19.196928750025101</v>
      </c>
      <c r="W20">
        <v>19.202582958969199</v>
      </c>
      <c r="X20">
        <v>19.690976041951199</v>
      </c>
      <c r="Y20">
        <v>19.690976041951199</v>
      </c>
      <c r="Z20">
        <v>19.690976041951199</v>
      </c>
      <c r="AA20">
        <v>20.150368208996898</v>
      </c>
      <c r="AB20" t="s">
        <v>65</v>
      </c>
      <c r="AC20">
        <v>1</v>
      </c>
      <c r="AD20">
        <v>0.454970083083026</v>
      </c>
      <c r="AE20" t="s">
        <v>55</v>
      </c>
      <c r="AJ20">
        <v>1</v>
      </c>
      <c r="AK20">
        <v>1</v>
      </c>
      <c r="AL20" t="s">
        <v>52</v>
      </c>
      <c r="AM20" t="s">
        <v>53</v>
      </c>
      <c r="AO20" t="s">
        <v>54</v>
      </c>
      <c r="AP20" t="s">
        <v>55</v>
      </c>
      <c r="AQ20" t="s">
        <v>56</v>
      </c>
    </row>
    <row r="21" spans="1:43" x14ac:dyDescent="0.2">
      <c r="A21" t="s">
        <v>66</v>
      </c>
      <c r="B21" t="s">
        <v>58</v>
      </c>
      <c r="C21" t="s">
        <v>63</v>
      </c>
      <c r="D21" t="s">
        <v>64</v>
      </c>
      <c r="E21" t="s">
        <v>61</v>
      </c>
      <c r="F21">
        <v>18</v>
      </c>
      <c r="G21">
        <v>2</v>
      </c>
      <c r="H21">
        <v>4</v>
      </c>
      <c r="I21" t="s">
        <v>61</v>
      </c>
      <c r="J21">
        <v>1</v>
      </c>
      <c r="K21">
        <v>0.43183712603058599</v>
      </c>
      <c r="L21" t="s">
        <v>55</v>
      </c>
      <c r="M21">
        <v>4</v>
      </c>
      <c r="N21">
        <v>2</v>
      </c>
      <c r="O21">
        <v>18</v>
      </c>
      <c r="P21">
        <v>3</v>
      </c>
      <c r="Q21">
        <v>20.1584305840078</v>
      </c>
      <c r="V21">
        <v>20.1526618340285</v>
      </c>
      <c r="W21">
        <v>20.1584305840078</v>
      </c>
      <c r="X21">
        <v>20.6481884589884</v>
      </c>
      <c r="Y21">
        <v>20.6481884589884</v>
      </c>
      <c r="Z21">
        <v>20.6481884589884</v>
      </c>
      <c r="AA21">
        <v>21.084144709049699</v>
      </c>
      <c r="AB21" t="s">
        <v>61</v>
      </c>
      <c r="AC21">
        <v>1</v>
      </c>
      <c r="AD21">
        <v>0.43183712603058599</v>
      </c>
      <c r="AE21" t="s">
        <v>55</v>
      </c>
      <c r="AJ21">
        <v>1</v>
      </c>
      <c r="AK21">
        <v>1</v>
      </c>
      <c r="AL21" t="s">
        <v>52</v>
      </c>
      <c r="AM21" t="s">
        <v>53</v>
      </c>
      <c r="AO21" t="s">
        <v>54</v>
      </c>
      <c r="AP21" t="s">
        <v>55</v>
      </c>
      <c r="AQ21" t="s">
        <v>56</v>
      </c>
    </row>
    <row r="22" spans="1:43" x14ac:dyDescent="0.2">
      <c r="A22" t="s">
        <v>57</v>
      </c>
      <c r="B22" t="s">
        <v>58</v>
      </c>
      <c r="C22" t="s">
        <v>59</v>
      </c>
      <c r="D22" t="s">
        <v>60</v>
      </c>
      <c r="E22" t="s">
        <v>61</v>
      </c>
      <c r="F22">
        <v>19</v>
      </c>
      <c r="G22">
        <v>3</v>
      </c>
      <c r="H22">
        <v>4</v>
      </c>
      <c r="I22" t="s">
        <v>61</v>
      </c>
      <c r="J22">
        <v>1</v>
      </c>
      <c r="K22">
        <v>0.41251100099179799</v>
      </c>
      <c r="L22" t="s">
        <v>55</v>
      </c>
      <c r="M22">
        <v>4</v>
      </c>
      <c r="N22">
        <v>3</v>
      </c>
      <c r="O22">
        <v>19</v>
      </c>
      <c r="P22">
        <v>1</v>
      </c>
      <c r="Q22">
        <v>21.092810834059399</v>
      </c>
      <c r="V22">
        <v>21.086851625004702</v>
      </c>
      <c r="W22">
        <v>21.092810834059399</v>
      </c>
      <c r="X22">
        <v>21.5815447090426</v>
      </c>
      <c r="Y22">
        <v>21.5815447090426</v>
      </c>
      <c r="Z22">
        <v>21.5815447090426</v>
      </c>
      <c r="AA22">
        <v>22.000464624958099</v>
      </c>
      <c r="AB22" t="s">
        <v>61</v>
      </c>
      <c r="AC22">
        <v>1</v>
      </c>
      <c r="AD22">
        <v>0.41251100099179799</v>
      </c>
      <c r="AE22" t="s">
        <v>55</v>
      </c>
      <c r="AJ22">
        <v>1</v>
      </c>
      <c r="AK22">
        <v>1</v>
      </c>
      <c r="AL22" t="s">
        <v>52</v>
      </c>
      <c r="AM22" t="s">
        <v>53</v>
      </c>
      <c r="AO22" t="s">
        <v>54</v>
      </c>
      <c r="AP22" t="s">
        <v>55</v>
      </c>
      <c r="AQ22" t="s">
        <v>56</v>
      </c>
    </row>
    <row r="23" spans="1:43" x14ac:dyDescent="0.2">
      <c r="A23" t="s">
        <v>66</v>
      </c>
      <c r="B23" t="s">
        <v>62</v>
      </c>
      <c r="C23" t="s">
        <v>59</v>
      </c>
      <c r="D23" t="s">
        <v>60</v>
      </c>
      <c r="E23" t="s">
        <v>65</v>
      </c>
      <c r="F23">
        <v>20</v>
      </c>
      <c r="G23">
        <v>0</v>
      </c>
      <c r="H23">
        <v>5</v>
      </c>
      <c r="I23" t="s">
        <v>65</v>
      </c>
      <c r="J23">
        <v>1</v>
      </c>
      <c r="K23">
        <v>0.94271145900711395</v>
      </c>
      <c r="L23" t="s">
        <v>55</v>
      </c>
      <c r="M23">
        <v>5</v>
      </c>
      <c r="N23">
        <v>0</v>
      </c>
      <c r="O23">
        <v>20</v>
      </c>
      <c r="P23">
        <v>2</v>
      </c>
      <c r="Q23">
        <v>22.008463250007399</v>
      </c>
      <c r="V23">
        <v>22.002710875007299</v>
      </c>
      <c r="W23">
        <v>22.008463250007399</v>
      </c>
      <c r="X23">
        <v>22.4983644590247</v>
      </c>
      <c r="Y23">
        <v>22.4983644590247</v>
      </c>
      <c r="Z23">
        <v>22.4983644590247</v>
      </c>
      <c r="AA23">
        <v>23.443907100000001</v>
      </c>
      <c r="AB23" t="s">
        <v>65</v>
      </c>
      <c r="AC23">
        <v>1</v>
      </c>
      <c r="AD23">
        <v>0.94271145900711395</v>
      </c>
      <c r="AE23" t="s">
        <v>55</v>
      </c>
      <c r="AJ23">
        <v>1</v>
      </c>
      <c r="AK23">
        <v>1</v>
      </c>
      <c r="AL23" t="s">
        <v>52</v>
      </c>
      <c r="AM23" t="s">
        <v>53</v>
      </c>
      <c r="AO23" t="s">
        <v>54</v>
      </c>
      <c r="AP23" t="s">
        <v>55</v>
      </c>
      <c r="AQ23" t="s">
        <v>56</v>
      </c>
    </row>
    <row r="24" spans="1:43" x14ac:dyDescent="0.2">
      <c r="A24" t="s">
        <v>66</v>
      </c>
      <c r="B24" t="s">
        <v>58</v>
      </c>
      <c r="C24" t="s">
        <v>63</v>
      </c>
      <c r="D24" t="s">
        <v>64</v>
      </c>
      <c r="E24" t="s">
        <v>61</v>
      </c>
      <c r="F24">
        <v>21</v>
      </c>
      <c r="G24">
        <v>1</v>
      </c>
      <c r="H24">
        <v>5</v>
      </c>
      <c r="I24" t="s">
        <v>61</v>
      </c>
      <c r="J24">
        <v>1</v>
      </c>
      <c r="K24">
        <v>0.81160687492229</v>
      </c>
      <c r="L24" t="s">
        <v>55</v>
      </c>
      <c r="M24">
        <v>5</v>
      </c>
      <c r="N24">
        <v>1</v>
      </c>
      <c r="O24">
        <v>21</v>
      </c>
      <c r="P24">
        <v>3</v>
      </c>
      <c r="Q24">
        <v>23.4498445839853</v>
      </c>
      <c r="V24">
        <v>23.444340083980901</v>
      </c>
      <c r="W24">
        <v>23.4498445839853</v>
      </c>
      <c r="X24">
        <v>23.940564709017</v>
      </c>
      <c r="Y24">
        <v>23.940564709017</v>
      </c>
      <c r="Z24">
        <v>23.940564709017</v>
      </c>
      <c r="AA24">
        <v>24.760513958986799</v>
      </c>
      <c r="AB24" t="s">
        <v>61</v>
      </c>
      <c r="AC24">
        <v>1</v>
      </c>
      <c r="AD24">
        <v>0.81160687492229</v>
      </c>
      <c r="AE24" t="s">
        <v>55</v>
      </c>
      <c r="AJ24">
        <v>1</v>
      </c>
      <c r="AK24">
        <v>1</v>
      </c>
      <c r="AL24" t="s">
        <v>52</v>
      </c>
      <c r="AM24" t="s">
        <v>53</v>
      </c>
      <c r="AO24" t="s">
        <v>54</v>
      </c>
      <c r="AP24" t="s">
        <v>55</v>
      </c>
      <c r="AQ24" t="s">
        <v>56</v>
      </c>
    </row>
    <row r="25" spans="1:43" x14ac:dyDescent="0.2">
      <c r="A25" t="s">
        <v>57</v>
      </c>
      <c r="B25" t="s">
        <v>62</v>
      </c>
      <c r="C25" t="s">
        <v>63</v>
      </c>
      <c r="D25" t="s">
        <v>64</v>
      </c>
      <c r="E25" t="s">
        <v>65</v>
      </c>
      <c r="F25">
        <v>22</v>
      </c>
      <c r="G25">
        <v>2</v>
      </c>
      <c r="H25">
        <v>5</v>
      </c>
      <c r="I25" t="s">
        <v>65</v>
      </c>
      <c r="J25">
        <v>1</v>
      </c>
      <c r="K25">
        <v>0.539827292086556</v>
      </c>
      <c r="L25" t="s">
        <v>55</v>
      </c>
      <c r="M25">
        <v>5</v>
      </c>
      <c r="N25">
        <v>2</v>
      </c>
      <c r="O25">
        <v>22</v>
      </c>
      <c r="P25">
        <v>0</v>
      </c>
      <c r="Q25">
        <v>24.768319166963899</v>
      </c>
      <c r="V25">
        <v>24.7629634999902</v>
      </c>
      <c r="W25">
        <v>24.768319166963899</v>
      </c>
      <c r="X25">
        <v>25.257158249965801</v>
      </c>
      <c r="Y25">
        <v>25.257158249965801</v>
      </c>
      <c r="Z25">
        <v>25.257158249965801</v>
      </c>
      <c r="AA25">
        <v>25.799942041980099</v>
      </c>
      <c r="AB25" t="s">
        <v>65</v>
      </c>
      <c r="AC25">
        <v>1</v>
      </c>
      <c r="AD25">
        <v>0.539827292086556</v>
      </c>
      <c r="AE25" t="s">
        <v>55</v>
      </c>
      <c r="AJ25">
        <v>1</v>
      </c>
      <c r="AK25">
        <v>1</v>
      </c>
      <c r="AL25" t="s">
        <v>52</v>
      </c>
      <c r="AM25" t="s">
        <v>53</v>
      </c>
      <c r="AO25" t="s">
        <v>54</v>
      </c>
      <c r="AP25" t="s">
        <v>55</v>
      </c>
      <c r="AQ25" t="s">
        <v>56</v>
      </c>
    </row>
    <row r="26" spans="1:43" x14ac:dyDescent="0.2">
      <c r="A26" t="s">
        <v>57</v>
      </c>
      <c r="B26" t="s">
        <v>58</v>
      </c>
      <c r="C26" t="s">
        <v>59</v>
      </c>
      <c r="D26" t="s">
        <v>60</v>
      </c>
      <c r="E26" t="s">
        <v>61</v>
      </c>
      <c r="F26">
        <v>23</v>
      </c>
      <c r="G26">
        <v>3</v>
      </c>
      <c r="H26">
        <v>5</v>
      </c>
      <c r="I26" t="s">
        <v>61</v>
      </c>
      <c r="J26">
        <v>1</v>
      </c>
      <c r="K26">
        <v>0.95466058398596898</v>
      </c>
      <c r="L26" t="s">
        <v>55</v>
      </c>
      <c r="M26">
        <v>5</v>
      </c>
      <c r="N26">
        <v>3</v>
      </c>
      <c r="O26">
        <v>23</v>
      </c>
      <c r="P26">
        <v>1</v>
      </c>
      <c r="Q26">
        <v>25.806942709023101</v>
      </c>
      <c r="V26">
        <v>25.800378291984</v>
      </c>
      <c r="W26">
        <v>25.806942709023101</v>
      </c>
      <c r="X26">
        <v>26.298410666990002</v>
      </c>
      <c r="Y26">
        <v>26.298410666990002</v>
      </c>
      <c r="Z26">
        <v>26.298410666990002</v>
      </c>
      <c r="AA26">
        <v>27.260551042039801</v>
      </c>
      <c r="AB26" t="s">
        <v>61</v>
      </c>
      <c r="AC26">
        <v>1</v>
      </c>
      <c r="AD26">
        <v>0.95466058398596898</v>
      </c>
      <c r="AE26" t="s">
        <v>55</v>
      </c>
      <c r="AJ26">
        <v>1</v>
      </c>
      <c r="AK26">
        <v>1</v>
      </c>
      <c r="AL26" t="s">
        <v>52</v>
      </c>
      <c r="AM26" t="s">
        <v>53</v>
      </c>
      <c r="AO26" t="s">
        <v>54</v>
      </c>
      <c r="AP26" t="s">
        <v>55</v>
      </c>
      <c r="AQ26" t="s">
        <v>56</v>
      </c>
    </row>
    <row r="27" spans="1:43" x14ac:dyDescent="0.2">
      <c r="A27" t="s">
        <v>66</v>
      </c>
      <c r="B27" t="s">
        <v>62</v>
      </c>
      <c r="C27" t="s">
        <v>59</v>
      </c>
      <c r="D27" t="s">
        <v>60</v>
      </c>
      <c r="E27" t="s">
        <v>65</v>
      </c>
      <c r="F27">
        <v>24</v>
      </c>
      <c r="G27">
        <v>0</v>
      </c>
      <c r="H27">
        <v>6</v>
      </c>
      <c r="I27" t="s">
        <v>65</v>
      </c>
      <c r="J27">
        <v>1</v>
      </c>
      <c r="K27">
        <v>0.66437050001695697</v>
      </c>
      <c r="L27" t="s">
        <v>55</v>
      </c>
      <c r="M27">
        <v>6</v>
      </c>
      <c r="N27">
        <v>0</v>
      </c>
      <c r="O27">
        <v>24</v>
      </c>
      <c r="P27">
        <v>2</v>
      </c>
      <c r="Q27">
        <v>27.268517666961898</v>
      </c>
      <c r="V27">
        <v>27.262840833980501</v>
      </c>
      <c r="W27">
        <v>27.268517666961898</v>
      </c>
      <c r="X27">
        <v>27.757774750003499</v>
      </c>
      <c r="Y27">
        <v>27.757774750003499</v>
      </c>
      <c r="Z27">
        <v>27.757774750003499</v>
      </c>
      <c r="AA27">
        <v>28.427448667003699</v>
      </c>
      <c r="AB27" t="s">
        <v>65</v>
      </c>
      <c r="AC27">
        <v>1</v>
      </c>
      <c r="AD27">
        <v>0.66437050001695697</v>
      </c>
      <c r="AE27" t="s">
        <v>55</v>
      </c>
      <c r="AJ27">
        <v>1</v>
      </c>
      <c r="AK27">
        <v>1</v>
      </c>
      <c r="AL27" t="s">
        <v>52</v>
      </c>
      <c r="AM27" t="s">
        <v>53</v>
      </c>
      <c r="AO27" t="s">
        <v>54</v>
      </c>
      <c r="AP27" t="s">
        <v>55</v>
      </c>
      <c r="AQ27" t="s">
        <v>56</v>
      </c>
    </row>
    <row r="28" spans="1:43" x14ac:dyDescent="0.2">
      <c r="A28" t="s">
        <v>57</v>
      </c>
      <c r="B28" t="s">
        <v>58</v>
      </c>
      <c r="C28" t="s">
        <v>59</v>
      </c>
      <c r="D28" t="s">
        <v>60</v>
      </c>
      <c r="E28" t="s">
        <v>61</v>
      </c>
      <c r="F28">
        <v>25</v>
      </c>
      <c r="G28">
        <v>1</v>
      </c>
      <c r="H28">
        <v>6</v>
      </c>
      <c r="I28" t="s">
        <v>61</v>
      </c>
      <c r="J28">
        <v>1</v>
      </c>
      <c r="K28">
        <v>1.01657395798247</v>
      </c>
      <c r="L28" t="s">
        <v>55</v>
      </c>
      <c r="M28">
        <v>6</v>
      </c>
      <c r="N28">
        <v>1</v>
      </c>
      <c r="O28">
        <v>25</v>
      </c>
      <c r="P28">
        <v>1</v>
      </c>
      <c r="Q28">
        <v>28.4357119590276</v>
      </c>
      <c r="V28">
        <v>28.430049667018402</v>
      </c>
      <c r="W28">
        <v>28.4357119590276</v>
      </c>
      <c r="X28">
        <v>28.924547100000002</v>
      </c>
      <c r="Y28">
        <v>28.924547100000002</v>
      </c>
      <c r="Z28">
        <v>28.924547100000002</v>
      </c>
      <c r="AA28">
        <v>29.9443967089755</v>
      </c>
      <c r="AB28" t="s">
        <v>61</v>
      </c>
      <c r="AC28">
        <v>1</v>
      </c>
      <c r="AD28">
        <v>1.01657395798247</v>
      </c>
      <c r="AE28" t="s">
        <v>55</v>
      </c>
      <c r="AJ28">
        <v>1</v>
      </c>
      <c r="AK28">
        <v>1</v>
      </c>
      <c r="AL28" t="s">
        <v>52</v>
      </c>
      <c r="AM28" t="s">
        <v>53</v>
      </c>
      <c r="AO28" t="s">
        <v>54</v>
      </c>
      <c r="AP28" t="s">
        <v>55</v>
      </c>
      <c r="AQ28" t="s">
        <v>56</v>
      </c>
    </row>
    <row r="29" spans="1:43" x14ac:dyDescent="0.2">
      <c r="A29" t="s">
        <v>66</v>
      </c>
      <c r="B29" t="s">
        <v>58</v>
      </c>
      <c r="C29" t="s">
        <v>63</v>
      </c>
      <c r="D29" t="s">
        <v>64</v>
      </c>
      <c r="E29" t="s">
        <v>61</v>
      </c>
      <c r="F29">
        <v>26</v>
      </c>
      <c r="G29">
        <v>2</v>
      </c>
      <c r="H29">
        <v>6</v>
      </c>
      <c r="I29" t="s">
        <v>61</v>
      </c>
      <c r="J29">
        <v>1</v>
      </c>
      <c r="K29">
        <v>0.661130083026364</v>
      </c>
      <c r="L29" t="s">
        <v>55</v>
      </c>
      <c r="M29">
        <v>6</v>
      </c>
      <c r="N29">
        <v>2</v>
      </c>
      <c r="O29">
        <v>26</v>
      </c>
      <c r="P29">
        <v>3</v>
      </c>
      <c r="Q29">
        <v>29.952423291979301</v>
      </c>
      <c r="V29">
        <v>29.946708166971799</v>
      </c>
      <c r="W29">
        <v>29.952423291979301</v>
      </c>
      <c r="X29">
        <v>30.440958417020699</v>
      </c>
      <c r="Y29">
        <v>30.440958417020699</v>
      </c>
      <c r="Z29">
        <v>30.440958417020699</v>
      </c>
      <c r="AA29">
        <v>31.1109914589906</v>
      </c>
      <c r="AB29" t="s">
        <v>61</v>
      </c>
      <c r="AC29">
        <v>1</v>
      </c>
      <c r="AD29">
        <v>0.661130083026364</v>
      </c>
      <c r="AE29" t="s">
        <v>55</v>
      </c>
      <c r="AJ29">
        <v>1</v>
      </c>
      <c r="AK29">
        <v>1</v>
      </c>
      <c r="AL29" t="s">
        <v>52</v>
      </c>
      <c r="AM29" t="s">
        <v>53</v>
      </c>
      <c r="AO29" t="s">
        <v>54</v>
      </c>
      <c r="AP29" t="s">
        <v>55</v>
      </c>
      <c r="AQ29" t="s">
        <v>56</v>
      </c>
    </row>
    <row r="30" spans="1:43" x14ac:dyDescent="0.2">
      <c r="A30" t="s">
        <v>57</v>
      </c>
      <c r="B30" t="s">
        <v>62</v>
      </c>
      <c r="C30" t="s">
        <v>63</v>
      </c>
      <c r="D30" t="s">
        <v>64</v>
      </c>
      <c r="E30" t="s">
        <v>65</v>
      </c>
      <c r="F30">
        <v>27</v>
      </c>
      <c r="G30">
        <v>3</v>
      </c>
      <c r="H30">
        <v>6</v>
      </c>
      <c r="I30" t="s">
        <v>65</v>
      </c>
      <c r="J30">
        <v>1</v>
      </c>
      <c r="K30">
        <v>0.65050154190976095</v>
      </c>
      <c r="L30" t="s">
        <v>55</v>
      </c>
      <c r="M30">
        <v>6</v>
      </c>
      <c r="N30">
        <v>3</v>
      </c>
      <c r="O30">
        <v>27</v>
      </c>
      <c r="P30">
        <v>0</v>
      </c>
      <c r="Q30">
        <v>31.118938583997</v>
      </c>
      <c r="V30">
        <v>31.113193709053999</v>
      </c>
      <c r="W30">
        <v>31.118938583997</v>
      </c>
      <c r="X30">
        <v>31.607691042008799</v>
      </c>
      <c r="Y30">
        <v>31.607691042008799</v>
      </c>
      <c r="Z30">
        <v>31.607691042008799</v>
      </c>
      <c r="AA30">
        <v>32.261469417018802</v>
      </c>
      <c r="AB30" t="s">
        <v>65</v>
      </c>
      <c r="AC30">
        <v>1</v>
      </c>
      <c r="AD30">
        <v>0.65050154190976095</v>
      </c>
      <c r="AE30" t="s">
        <v>55</v>
      </c>
      <c r="AJ30">
        <v>1</v>
      </c>
      <c r="AK30">
        <v>1</v>
      </c>
      <c r="AL30" t="s">
        <v>52</v>
      </c>
      <c r="AM30" t="s">
        <v>53</v>
      </c>
      <c r="AO30" t="s">
        <v>54</v>
      </c>
      <c r="AP30" t="s">
        <v>55</v>
      </c>
      <c r="AQ30" t="s">
        <v>56</v>
      </c>
    </row>
    <row r="31" spans="1:43" x14ac:dyDescent="0.2">
      <c r="A31" t="s">
        <v>57</v>
      </c>
      <c r="B31" t="s">
        <v>58</v>
      </c>
      <c r="C31" t="s">
        <v>59</v>
      </c>
      <c r="D31" t="s">
        <v>60</v>
      </c>
      <c r="E31" t="s">
        <v>61</v>
      </c>
      <c r="F31">
        <v>28</v>
      </c>
      <c r="G31">
        <v>0</v>
      </c>
      <c r="H31">
        <v>7</v>
      </c>
      <c r="I31" t="s">
        <v>61</v>
      </c>
      <c r="J31">
        <v>1</v>
      </c>
      <c r="K31">
        <v>0.78440462506841802</v>
      </c>
      <c r="L31" t="s">
        <v>55</v>
      </c>
      <c r="M31">
        <v>7</v>
      </c>
      <c r="N31">
        <v>0</v>
      </c>
      <c r="O31">
        <v>28</v>
      </c>
      <c r="P31">
        <v>1</v>
      </c>
      <c r="Q31">
        <v>32.2674779170192</v>
      </c>
      <c r="V31">
        <v>32.261897583957698</v>
      </c>
      <c r="W31">
        <v>32.2674779170192</v>
      </c>
      <c r="X31">
        <v>32.757756458944598</v>
      </c>
      <c r="Y31">
        <v>32.757756458944598</v>
      </c>
      <c r="Z31">
        <v>32.757756458944598</v>
      </c>
      <c r="AA31">
        <v>33.544945667032103</v>
      </c>
      <c r="AB31" t="s">
        <v>61</v>
      </c>
      <c r="AC31">
        <v>1</v>
      </c>
      <c r="AD31">
        <v>0.78440462506841802</v>
      </c>
      <c r="AE31" t="s">
        <v>55</v>
      </c>
      <c r="AJ31">
        <v>1</v>
      </c>
      <c r="AK31">
        <v>1</v>
      </c>
      <c r="AL31" t="s">
        <v>52</v>
      </c>
      <c r="AM31" t="s">
        <v>53</v>
      </c>
      <c r="AO31" t="s">
        <v>54</v>
      </c>
      <c r="AP31" t="s">
        <v>55</v>
      </c>
      <c r="AQ31" t="s">
        <v>56</v>
      </c>
    </row>
    <row r="32" spans="1:43" x14ac:dyDescent="0.2">
      <c r="A32" t="s">
        <v>57</v>
      </c>
      <c r="B32" t="s">
        <v>62</v>
      </c>
      <c r="C32" t="s">
        <v>63</v>
      </c>
      <c r="D32" t="s">
        <v>64</v>
      </c>
      <c r="E32" t="s">
        <v>65</v>
      </c>
      <c r="F32">
        <v>29</v>
      </c>
      <c r="G32">
        <v>1</v>
      </c>
      <c r="H32">
        <v>7</v>
      </c>
      <c r="I32" t="s">
        <v>65</v>
      </c>
      <c r="J32">
        <v>1</v>
      </c>
      <c r="K32">
        <v>0.54156837600748897</v>
      </c>
      <c r="L32" t="s">
        <v>55</v>
      </c>
      <c r="M32">
        <v>7</v>
      </c>
      <c r="N32">
        <v>1</v>
      </c>
      <c r="O32">
        <v>29</v>
      </c>
      <c r="P32">
        <v>0</v>
      </c>
      <c r="Q32">
        <v>33.550993000040698</v>
      </c>
      <c r="V32">
        <v>33.545370292034903</v>
      </c>
      <c r="W32">
        <v>33.550993000040698</v>
      </c>
      <c r="X32">
        <v>34.041468749986898</v>
      </c>
      <c r="Y32">
        <v>34.041468749986898</v>
      </c>
      <c r="Z32">
        <v>34.041468749986898</v>
      </c>
      <c r="AA32">
        <v>34.594490700000001</v>
      </c>
      <c r="AB32" t="s">
        <v>65</v>
      </c>
      <c r="AC32">
        <v>1</v>
      </c>
      <c r="AD32">
        <v>0.54156837600748897</v>
      </c>
      <c r="AE32" t="s">
        <v>55</v>
      </c>
      <c r="AJ32">
        <v>1</v>
      </c>
      <c r="AK32">
        <v>1</v>
      </c>
      <c r="AL32" t="s">
        <v>52</v>
      </c>
      <c r="AM32" t="s">
        <v>53</v>
      </c>
      <c r="AO32" t="s">
        <v>54</v>
      </c>
      <c r="AP32" t="s">
        <v>55</v>
      </c>
      <c r="AQ32" t="s">
        <v>56</v>
      </c>
    </row>
    <row r="33" spans="1:44" x14ac:dyDescent="0.2">
      <c r="A33" t="s">
        <v>66</v>
      </c>
      <c r="B33" t="s">
        <v>58</v>
      </c>
      <c r="C33" t="s">
        <v>63</v>
      </c>
      <c r="D33" t="s">
        <v>64</v>
      </c>
      <c r="E33" t="s">
        <v>61</v>
      </c>
      <c r="F33">
        <v>30</v>
      </c>
      <c r="G33">
        <v>2</v>
      </c>
      <c r="H33">
        <v>7</v>
      </c>
      <c r="I33" t="s">
        <v>61</v>
      </c>
      <c r="J33">
        <v>1</v>
      </c>
      <c r="K33">
        <v>0.50967417000000004</v>
      </c>
      <c r="L33" t="s">
        <v>55</v>
      </c>
      <c r="M33">
        <v>7</v>
      </c>
      <c r="N33">
        <v>2</v>
      </c>
      <c r="O33">
        <v>30</v>
      </c>
      <c r="P33">
        <v>3</v>
      </c>
      <c r="Q33">
        <v>34.602714000036897</v>
      </c>
      <c r="V33">
        <v>34.596977708977597</v>
      </c>
      <c r="W33">
        <v>34.602714000036897</v>
      </c>
      <c r="X33">
        <v>35.0915515000233</v>
      </c>
      <c r="Y33">
        <v>35.0915515000233</v>
      </c>
      <c r="Z33">
        <v>35.0915515000233</v>
      </c>
      <c r="AA33">
        <v>35.611560791963697</v>
      </c>
      <c r="AB33" t="s">
        <v>61</v>
      </c>
      <c r="AC33">
        <v>1</v>
      </c>
      <c r="AD33">
        <v>0.50967417000000004</v>
      </c>
      <c r="AE33" t="s">
        <v>55</v>
      </c>
      <c r="AJ33">
        <v>1</v>
      </c>
      <c r="AK33">
        <v>1</v>
      </c>
      <c r="AL33" t="s">
        <v>52</v>
      </c>
      <c r="AM33" t="s">
        <v>53</v>
      </c>
      <c r="AO33" t="s">
        <v>54</v>
      </c>
      <c r="AP33" t="s">
        <v>55</v>
      </c>
      <c r="AQ33" t="s">
        <v>56</v>
      </c>
    </row>
    <row r="34" spans="1:44" x14ac:dyDescent="0.2">
      <c r="A34" t="s">
        <v>66</v>
      </c>
      <c r="B34" t="s">
        <v>62</v>
      </c>
      <c r="C34" t="s">
        <v>59</v>
      </c>
      <c r="D34" t="s">
        <v>60</v>
      </c>
      <c r="E34" t="s">
        <v>65</v>
      </c>
      <c r="F34">
        <v>31</v>
      </c>
      <c r="G34">
        <v>3</v>
      </c>
      <c r="H34">
        <v>7</v>
      </c>
      <c r="I34" t="s">
        <v>65</v>
      </c>
      <c r="J34">
        <v>1</v>
      </c>
      <c r="K34">
        <v>0.89715408300980903</v>
      </c>
      <c r="L34" t="s">
        <v>55</v>
      </c>
      <c r="M34">
        <v>7</v>
      </c>
      <c r="N34">
        <v>3</v>
      </c>
      <c r="O34">
        <v>31</v>
      </c>
      <c r="P34">
        <v>2</v>
      </c>
      <c r="Q34">
        <v>35.617570834001498</v>
      </c>
      <c r="V34">
        <v>35.611989959026602</v>
      </c>
      <c r="W34">
        <v>35.617570834001498</v>
      </c>
      <c r="X34">
        <v>36.1081187090603</v>
      </c>
      <c r="Y34">
        <v>36.1081187090603</v>
      </c>
      <c r="Z34">
        <v>36.1081187090603</v>
      </c>
      <c r="AA34">
        <v>37.011292792041701</v>
      </c>
      <c r="AB34" t="s">
        <v>65</v>
      </c>
      <c r="AC34">
        <v>1</v>
      </c>
      <c r="AD34">
        <v>0.89715408300980903</v>
      </c>
      <c r="AE34" t="s">
        <v>55</v>
      </c>
      <c r="AJ34">
        <v>1</v>
      </c>
      <c r="AK34">
        <v>1</v>
      </c>
      <c r="AL34" t="s">
        <v>52</v>
      </c>
      <c r="AM34" t="s">
        <v>53</v>
      </c>
      <c r="AO34" t="s">
        <v>54</v>
      </c>
      <c r="AP34" t="s">
        <v>55</v>
      </c>
      <c r="AQ34" t="s">
        <v>56</v>
      </c>
    </row>
    <row r="35" spans="1:44" x14ac:dyDescent="0.2">
      <c r="A35" t="s">
        <v>66</v>
      </c>
      <c r="B35" t="s">
        <v>58</v>
      </c>
      <c r="C35" t="s">
        <v>63</v>
      </c>
      <c r="D35" t="s">
        <v>64</v>
      </c>
      <c r="E35" t="s">
        <v>61</v>
      </c>
      <c r="F35">
        <v>32</v>
      </c>
      <c r="G35">
        <v>0</v>
      </c>
      <c r="H35">
        <v>8</v>
      </c>
      <c r="I35" t="s">
        <v>61</v>
      </c>
      <c r="J35">
        <v>1</v>
      </c>
      <c r="K35">
        <v>0.62727850093506199</v>
      </c>
      <c r="L35" t="s">
        <v>55</v>
      </c>
      <c r="M35">
        <v>8</v>
      </c>
      <c r="N35">
        <v>0</v>
      </c>
      <c r="O35">
        <v>32</v>
      </c>
      <c r="P35">
        <v>3</v>
      </c>
      <c r="Q35">
        <v>37.0172721249982</v>
      </c>
      <c r="V35">
        <v>37.011719458969303</v>
      </c>
      <c r="W35">
        <v>37.0172721249982</v>
      </c>
      <c r="X35">
        <v>37.507957292022098</v>
      </c>
      <c r="Y35">
        <v>37.507957292022098</v>
      </c>
      <c r="Z35">
        <v>37.507957292022098</v>
      </c>
      <c r="AA35">
        <v>38.144653999945099</v>
      </c>
      <c r="AB35" t="s">
        <v>61</v>
      </c>
      <c r="AC35">
        <v>1</v>
      </c>
      <c r="AD35">
        <v>0.62727850093506199</v>
      </c>
      <c r="AE35" t="s">
        <v>55</v>
      </c>
      <c r="AJ35">
        <v>1</v>
      </c>
      <c r="AK35">
        <v>1</v>
      </c>
      <c r="AL35" t="s">
        <v>52</v>
      </c>
      <c r="AM35" t="s">
        <v>53</v>
      </c>
      <c r="AO35" t="s">
        <v>54</v>
      </c>
      <c r="AP35" t="s">
        <v>55</v>
      </c>
      <c r="AQ35" t="s">
        <v>56</v>
      </c>
    </row>
    <row r="36" spans="1:44" x14ac:dyDescent="0.2">
      <c r="A36" t="s">
        <v>66</v>
      </c>
      <c r="B36" t="s">
        <v>62</v>
      </c>
      <c r="C36" t="s">
        <v>59</v>
      </c>
      <c r="D36" t="s">
        <v>60</v>
      </c>
      <c r="E36" t="s">
        <v>65</v>
      </c>
      <c r="F36">
        <v>33</v>
      </c>
      <c r="G36">
        <v>1</v>
      </c>
      <c r="H36">
        <v>8</v>
      </c>
      <c r="I36" t="s">
        <v>65</v>
      </c>
      <c r="J36">
        <v>1</v>
      </c>
      <c r="K36">
        <v>0.74046574998646897</v>
      </c>
      <c r="L36" t="s">
        <v>55</v>
      </c>
      <c r="M36">
        <v>8</v>
      </c>
      <c r="N36">
        <v>1</v>
      </c>
      <c r="O36">
        <v>33</v>
      </c>
      <c r="P36">
        <v>2</v>
      </c>
      <c r="Q36">
        <v>38.150696333963403</v>
      </c>
      <c r="V36">
        <v>38.145108291995697</v>
      </c>
      <c r="W36">
        <v>38.150696333963403</v>
      </c>
      <c r="X36">
        <v>38.640678166993801</v>
      </c>
      <c r="Y36">
        <v>38.640678166993801</v>
      </c>
      <c r="Z36">
        <v>38.640678166993801</v>
      </c>
      <c r="AA36">
        <v>39.3844951669452</v>
      </c>
      <c r="AB36" t="s">
        <v>65</v>
      </c>
      <c r="AC36">
        <v>1</v>
      </c>
      <c r="AD36">
        <v>0.74046574998646897</v>
      </c>
      <c r="AE36" t="s">
        <v>55</v>
      </c>
      <c r="AJ36">
        <v>1</v>
      </c>
      <c r="AK36">
        <v>1</v>
      </c>
      <c r="AL36" t="s">
        <v>52</v>
      </c>
      <c r="AM36" t="s">
        <v>53</v>
      </c>
      <c r="AO36" t="s">
        <v>54</v>
      </c>
      <c r="AP36" t="s">
        <v>55</v>
      </c>
      <c r="AQ36" t="s">
        <v>56</v>
      </c>
    </row>
    <row r="37" spans="1:44" x14ac:dyDescent="0.2">
      <c r="A37" t="s">
        <v>57</v>
      </c>
      <c r="B37" t="s">
        <v>62</v>
      </c>
      <c r="C37" t="s">
        <v>63</v>
      </c>
      <c r="D37" t="s">
        <v>64</v>
      </c>
      <c r="E37" t="s">
        <v>65</v>
      </c>
      <c r="F37">
        <v>34</v>
      </c>
      <c r="G37">
        <v>2</v>
      </c>
      <c r="H37">
        <v>8</v>
      </c>
      <c r="I37" t="s">
        <v>65</v>
      </c>
      <c r="J37">
        <v>1</v>
      </c>
      <c r="K37">
        <v>0.58434937591664404</v>
      </c>
      <c r="L37" t="s">
        <v>55</v>
      </c>
      <c r="M37">
        <v>8</v>
      </c>
      <c r="N37">
        <v>2</v>
      </c>
      <c r="O37">
        <v>34</v>
      </c>
      <c r="P37">
        <v>0</v>
      </c>
      <c r="Q37">
        <v>39.408163249958299</v>
      </c>
      <c r="V37">
        <v>39.386751999962101</v>
      </c>
      <c r="W37">
        <v>39.408163249958299</v>
      </c>
      <c r="X37">
        <v>39.881850249948897</v>
      </c>
      <c r="Y37">
        <v>39.881850249948897</v>
      </c>
      <c r="Z37">
        <v>39.881850249948897</v>
      </c>
      <c r="AA37">
        <v>40.467301875003599</v>
      </c>
      <c r="AB37" t="s">
        <v>65</v>
      </c>
      <c r="AC37">
        <v>1</v>
      </c>
      <c r="AD37">
        <v>0.58434937591664404</v>
      </c>
      <c r="AE37" t="s">
        <v>55</v>
      </c>
      <c r="AJ37">
        <v>1</v>
      </c>
      <c r="AK37">
        <v>1</v>
      </c>
      <c r="AL37" t="s">
        <v>52</v>
      </c>
      <c r="AM37" t="s">
        <v>53</v>
      </c>
      <c r="AO37" t="s">
        <v>54</v>
      </c>
      <c r="AP37" t="s">
        <v>55</v>
      </c>
      <c r="AQ37" t="s">
        <v>56</v>
      </c>
    </row>
    <row r="38" spans="1:44" x14ac:dyDescent="0.2">
      <c r="A38" t="s">
        <v>57</v>
      </c>
      <c r="B38" t="s">
        <v>58</v>
      </c>
      <c r="C38" t="s">
        <v>59</v>
      </c>
      <c r="D38" t="s">
        <v>60</v>
      </c>
      <c r="E38" t="s">
        <v>61</v>
      </c>
      <c r="F38">
        <v>35</v>
      </c>
      <c r="G38">
        <v>3</v>
      </c>
      <c r="H38">
        <v>8</v>
      </c>
      <c r="I38" t="s">
        <v>61</v>
      </c>
      <c r="J38">
        <v>1</v>
      </c>
      <c r="K38">
        <v>0.75106924993451596</v>
      </c>
      <c r="L38" t="s">
        <v>55</v>
      </c>
      <c r="M38">
        <v>8</v>
      </c>
      <c r="N38">
        <v>3</v>
      </c>
      <c r="O38">
        <v>35</v>
      </c>
      <c r="P38">
        <v>1</v>
      </c>
      <c r="Q38">
        <v>40.474791791988501</v>
      </c>
      <c r="V38">
        <v>40.467742791981401</v>
      </c>
      <c r="W38">
        <v>40.474791791988501</v>
      </c>
      <c r="X38">
        <v>40.965025124954899</v>
      </c>
      <c r="Y38">
        <v>40.965025124954899</v>
      </c>
      <c r="Z38">
        <v>40.965025124954899</v>
      </c>
      <c r="AA38">
        <v>41.717388042015898</v>
      </c>
      <c r="AB38" t="s">
        <v>61</v>
      </c>
      <c r="AC38">
        <v>1</v>
      </c>
      <c r="AD38">
        <v>0.75106924993451596</v>
      </c>
      <c r="AE38" t="s">
        <v>55</v>
      </c>
      <c r="AJ38">
        <v>1</v>
      </c>
      <c r="AK38">
        <v>1</v>
      </c>
      <c r="AL38" t="s">
        <v>52</v>
      </c>
      <c r="AM38" t="s">
        <v>53</v>
      </c>
      <c r="AO38" t="s">
        <v>54</v>
      </c>
      <c r="AP38" t="s">
        <v>55</v>
      </c>
      <c r="AQ38" t="s">
        <v>56</v>
      </c>
    </row>
    <row r="39" spans="1:44" x14ac:dyDescent="0.2">
      <c r="A39" t="s">
        <v>57</v>
      </c>
      <c r="B39" t="s">
        <v>62</v>
      </c>
      <c r="C39" t="s">
        <v>63</v>
      </c>
      <c r="D39" t="s">
        <v>64</v>
      </c>
      <c r="E39" t="s">
        <v>65</v>
      </c>
      <c r="F39">
        <v>36</v>
      </c>
      <c r="G39">
        <v>0</v>
      </c>
      <c r="H39">
        <v>9</v>
      </c>
      <c r="I39" t="s">
        <v>65</v>
      </c>
      <c r="J39">
        <v>1</v>
      </c>
      <c r="K39">
        <v>0.50451366696506705</v>
      </c>
      <c r="L39" t="s">
        <v>55</v>
      </c>
      <c r="M39">
        <v>9</v>
      </c>
      <c r="N39">
        <v>0</v>
      </c>
      <c r="O39">
        <v>36</v>
      </c>
      <c r="P39">
        <v>0</v>
      </c>
      <c r="Q39">
        <v>41.724841458955702</v>
      </c>
      <c r="V39">
        <v>41.7178225000388</v>
      </c>
      <c r="W39">
        <v>41.724841458955702</v>
      </c>
      <c r="X39">
        <v>42.215696542058097</v>
      </c>
      <c r="Y39">
        <v>42.215696542058097</v>
      </c>
      <c r="Z39">
        <v>42.215696542058097</v>
      </c>
      <c r="AA39">
        <v>42.727984042023301</v>
      </c>
      <c r="AB39" t="s">
        <v>65</v>
      </c>
      <c r="AC39">
        <v>1</v>
      </c>
      <c r="AD39">
        <v>0.50451366696506705</v>
      </c>
      <c r="AE39" t="s">
        <v>55</v>
      </c>
      <c r="AJ39">
        <v>1</v>
      </c>
      <c r="AK39">
        <v>1</v>
      </c>
      <c r="AL39" t="s">
        <v>52</v>
      </c>
      <c r="AM39" t="s">
        <v>53</v>
      </c>
      <c r="AO39" t="s">
        <v>54</v>
      </c>
      <c r="AP39" t="s">
        <v>55</v>
      </c>
      <c r="AQ39" t="s">
        <v>56</v>
      </c>
    </row>
    <row r="40" spans="1:44" x14ac:dyDescent="0.2">
      <c r="A40" t="s">
        <v>57</v>
      </c>
      <c r="B40" t="s">
        <v>58</v>
      </c>
      <c r="C40" t="s">
        <v>59</v>
      </c>
      <c r="D40" t="s">
        <v>60</v>
      </c>
      <c r="E40" t="s">
        <v>61</v>
      </c>
      <c r="F40">
        <v>37</v>
      </c>
      <c r="G40">
        <v>1</v>
      </c>
      <c r="H40">
        <v>9</v>
      </c>
      <c r="I40" t="s">
        <v>61</v>
      </c>
      <c r="J40">
        <v>1</v>
      </c>
      <c r="K40">
        <v>0.82315395900513899</v>
      </c>
      <c r="L40" t="s">
        <v>55</v>
      </c>
      <c r="M40">
        <v>9</v>
      </c>
      <c r="N40">
        <v>1</v>
      </c>
      <c r="O40">
        <v>37</v>
      </c>
      <c r="P40">
        <v>1</v>
      </c>
      <c r="Q40">
        <v>42.734054708969701</v>
      </c>
      <c r="V40">
        <v>42.728440209059002</v>
      </c>
      <c r="W40">
        <v>42.734054708969701</v>
      </c>
      <c r="X40">
        <v>43.224999084020901</v>
      </c>
      <c r="Y40">
        <v>43.224999084020901</v>
      </c>
      <c r="Z40">
        <v>43.224999084020901</v>
      </c>
      <c r="AA40">
        <v>44.051466749981003</v>
      </c>
      <c r="AB40" t="s">
        <v>61</v>
      </c>
      <c r="AC40">
        <v>1</v>
      </c>
      <c r="AD40">
        <v>0.82315395900513899</v>
      </c>
      <c r="AE40" t="s">
        <v>55</v>
      </c>
      <c r="AJ40">
        <v>1</v>
      </c>
      <c r="AK40">
        <v>1</v>
      </c>
      <c r="AL40" t="s">
        <v>52</v>
      </c>
      <c r="AM40" t="s">
        <v>53</v>
      </c>
      <c r="AO40" t="s">
        <v>54</v>
      </c>
      <c r="AP40" t="s">
        <v>55</v>
      </c>
      <c r="AQ40" t="s">
        <v>56</v>
      </c>
    </row>
    <row r="41" spans="1:44" x14ac:dyDescent="0.2">
      <c r="A41" t="s">
        <v>66</v>
      </c>
      <c r="B41" t="s">
        <v>58</v>
      </c>
      <c r="C41" t="s">
        <v>63</v>
      </c>
      <c r="D41" t="s">
        <v>64</v>
      </c>
      <c r="E41" t="s">
        <v>61</v>
      </c>
      <c r="F41">
        <v>38</v>
      </c>
      <c r="G41">
        <v>2</v>
      </c>
      <c r="H41">
        <v>9</v>
      </c>
      <c r="I41" t="s">
        <v>61</v>
      </c>
      <c r="J41">
        <v>1</v>
      </c>
      <c r="K41">
        <v>0.49118025007192001</v>
      </c>
      <c r="L41" t="s">
        <v>55</v>
      </c>
      <c r="M41">
        <v>9</v>
      </c>
      <c r="N41">
        <v>2</v>
      </c>
      <c r="O41">
        <v>38</v>
      </c>
      <c r="P41">
        <v>3</v>
      </c>
      <c r="Q41">
        <v>44.075165541958903</v>
      </c>
      <c r="V41">
        <v>44.0536699589574</v>
      </c>
      <c r="W41">
        <v>44.075165541958903</v>
      </c>
      <c r="X41">
        <v>44.549174917046898</v>
      </c>
      <c r="Y41">
        <v>44.549174917046898</v>
      </c>
      <c r="Z41">
        <v>44.549174917046898</v>
      </c>
      <c r="AA41">
        <v>45.045378666953098</v>
      </c>
      <c r="AB41" t="s">
        <v>61</v>
      </c>
      <c r="AC41">
        <v>1</v>
      </c>
      <c r="AD41">
        <v>0.49118025007192001</v>
      </c>
      <c r="AE41" t="s">
        <v>55</v>
      </c>
      <c r="AJ41">
        <v>1</v>
      </c>
      <c r="AK41">
        <v>1</v>
      </c>
      <c r="AL41" t="s">
        <v>52</v>
      </c>
      <c r="AM41" t="s">
        <v>53</v>
      </c>
      <c r="AO41" t="s">
        <v>54</v>
      </c>
      <c r="AP41" t="s">
        <v>55</v>
      </c>
      <c r="AQ41" t="s">
        <v>56</v>
      </c>
    </row>
    <row r="42" spans="1:44" x14ac:dyDescent="0.2">
      <c r="A42" t="s">
        <v>66</v>
      </c>
      <c r="B42" t="s">
        <v>62</v>
      </c>
      <c r="C42" t="s">
        <v>59</v>
      </c>
      <c r="D42" t="s">
        <v>60</v>
      </c>
      <c r="E42" t="s">
        <v>65</v>
      </c>
      <c r="F42">
        <v>39</v>
      </c>
      <c r="G42">
        <v>3</v>
      </c>
      <c r="H42">
        <v>9</v>
      </c>
      <c r="I42" t="s">
        <v>65</v>
      </c>
      <c r="J42">
        <v>1</v>
      </c>
      <c r="K42">
        <v>0.65657762496266503</v>
      </c>
      <c r="L42" t="s">
        <v>55</v>
      </c>
      <c r="M42">
        <v>9</v>
      </c>
      <c r="N42">
        <v>3</v>
      </c>
      <c r="O42">
        <v>39</v>
      </c>
      <c r="P42">
        <v>2</v>
      </c>
      <c r="Q42">
        <v>45.051539749954799</v>
      </c>
      <c r="V42">
        <v>45.045854334020902</v>
      </c>
      <c r="W42">
        <v>45.051539749954799</v>
      </c>
      <c r="X42">
        <v>45.541703084018003</v>
      </c>
      <c r="Y42">
        <v>45.541703084018003</v>
      </c>
      <c r="Z42">
        <v>45.541703084018003</v>
      </c>
      <c r="AA42">
        <v>46.200694833998497</v>
      </c>
      <c r="AB42" t="s">
        <v>65</v>
      </c>
      <c r="AC42">
        <v>1</v>
      </c>
      <c r="AD42">
        <v>0.65657762496266503</v>
      </c>
      <c r="AE42" t="s">
        <v>55</v>
      </c>
      <c r="AJ42">
        <v>1</v>
      </c>
      <c r="AK42">
        <v>1</v>
      </c>
      <c r="AL42" t="s">
        <v>52</v>
      </c>
      <c r="AM42" t="s">
        <v>53</v>
      </c>
      <c r="AO42" t="s">
        <v>54</v>
      </c>
      <c r="AP42" t="s">
        <v>55</v>
      </c>
      <c r="AQ42" t="s">
        <v>56</v>
      </c>
    </row>
    <row r="43" spans="1:44" x14ac:dyDescent="0.2">
      <c r="AG43">
        <v>46.200822958955499</v>
      </c>
      <c r="AH43">
        <v>46.207655292004297</v>
      </c>
      <c r="AI43">
        <v>47.198107584030303</v>
      </c>
      <c r="AJ43">
        <v>47.194548208964903</v>
      </c>
      <c r="AK43">
        <v>1</v>
      </c>
      <c r="AL43">
        <v>1</v>
      </c>
      <c r="AM43" t="s">
        <v>52</v>
      </c>
      <c r="AN43" t="s">
        <v>53</v>
      </c>
      <c r="AP43" t="s">
        <v>54</v>
      </c>
      <c r="AQ43" t="s">
        <v>55</v>
      </c>
      <c r="AR43" t="s">
        <v>56</v>
      </c>
    </row>
    <row r="46" spans="1:44" x14ac:dyDescent="0.2">
      <c r="B46" t="s">
        <v>67</v>
      </c>
      <c r="C46">
        <v>0.53108498000000004</v>
      </c>
    </row>
    <row r="47" spans="1:44" x14ac:dyDescent="0.2">
      <c r="B47" t="s">
        <v>68</v>
      </c>
      <c r="C47">
        <v>0.56721739000000004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BA1E-C924-CE48-B5E8-597D5EC12E24}">
  <dimension ref="A1:AQ46"/>
  <sheetViews>
    <sheetView workbookViewId="0">
      <selection activeCell="C25" sqref="C25"/>
    </sheetView>
  </sheetViews>
  <sheetFormatPr baseColWidth="10" defaultRowHeight="16" x14ac:dyDescent="0.2"/>
  <sheetData>
    <row r="1" spans="1:43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 x14ac:dyDescent="0.2">
      <c r="S2">
        <v>6.4477900000000001E-3</v>
      </c>
      <c r="T2">
        <v>1.1095750029198799E-2</v>
      </c>
      <c r="U2">
        <v>1.0001049590064199</v>
      </c>
      <c r="AI2">
        <v>2</v>
      </c>
      <c r="AJ2">
        <v>1</v>
      </c>
      <c r="AK2" t="s">
        <v>69</v>
      </c>
      <c r="AL2" t="s">
        <v>53</v>
      </c>
      <c r="AN2" t="s">
        <v>54</v>
      </c>
      <c r="AO2" t="s">
        <v>55</v>
      </c>
      <c r="AP2" t="s">
        <v>70</v>
      </c>
    </row>
    <row r="3" spans="1:43" x14ac:dyDescent="0.2">
      <c r="A3" t="s">
        <v>66</v>
      </c>
      <c r="B3" t="s">
        <v>58</v>
      </c>
      <c r="C3" t="s">
        <v>63</v>
      </c>
      <c r="D3" t="s">
        <v>64</v>
      </c>
      <c r="E3" t="s">
        <v>61</v>
      </c>
      <c r="F3">
        <v>0</v>
      </c>
      <c r="G3">
        <v>0</v>
      </c>
      <c r="H3">
        <v>0</v>
      </c>
      <c r="I3" t="s">
        <v>61</v>
      </c>
      <c r="J3">
        <v>1</v>
      </c>
      <c r="K3">
        <v>0.74462562508415397</v>
      </c>
      <c r="L3" t="s">
        <v>55</v>
      </c>
      <c r="M3">
        <v>0</v>
      </c>
      <c r="N3">
        <v>0</v>
      </c>
      <c r="O3">
        <v>0</v>
      </c>
      <c r="P3">
        <v>3</v>
      </c>
      <c r="Q3">
        <v>1.01900237507652</v>
      </c>
      <c r="U3">
        <v>1.01534854201599</v>
      </c>
      <c r="V3">
        <v>1.01900237507652</v>
      </c>
      <c r="W3">
        <v>1.49956937506794</v>
      </c>
      <c r="X3">
        <v>1.49956937506794</v>
      </c>
      <c r="Y3">
        <v>1.49956937506794</v>
      </c>
      <c r="Z3">
        <v>2.3940580000635201</v>
      </c>
      <c r="AA3" t="s">
        <v>61</v>
      </c>
      <c r="AB3">
        <v>1</v>
      </c>
      <c r="AC3">
        <v>0.74462562508415397</v>
      </c>
      <c r="AD3" t="s">
        <v>55</v>
      </c>
      <c r="AI3">
        <v>2</v>
      </c>
      <c r="AJ3">
        <v>1</v>
      </c>
      <c r="AK3" t="s">
        <v>69</v>
      </c>
      <c r="AL3" t="s">
        <v>53</v>
      </c>
      <c r="AN3" t="s">
        <v>54</v>
      </c>
      <c r="AO3" t="s">
        <v>55</v>
      </c>
      <c r="AP3" t="s">
        <v>70</v>
      </c>
    </row>
    <row r="4" spans="1:43" x14ac:dyDescent="0.2">
      <c r="A4" t="s">
        <v>66</v>
      </c>
      <c r="B4" t="s">
        <v>62</v>
      </c>
      <c r="C4" t="s">
        <v>59</v>
      </c>
      <c r="D4" t="s">
        <v>60</v>
      </c>
      <c r="E4" t="s">
        <v>65</v>
      </c>
      <c r="F4">
        <v>1</v>
      </c>
      <c r="G4">
        <v>1</v>
      </c>
      <c r="H4">
        <v>0</v>
      </c>
      <c r="I4" t="s">
        <v>65</v>
      </c>
      <c r="J4">
        <v>1</v>
      </c>
      <c r="K4">
        <v>0.44704204204026599</v>
      </c>
      <c r="L4" t="s">
        <v>55</v>
      </c>
      <c r="M4">
        <v>0</v>
      </c>
      <c r="N4">
        <v>1</v>
      </c>
      <c r="O4">
        <v>1</v>
      </c>
      <c r="P4">
        <v>2</v>
      </c>
      <c r="Q4">
        <v>2.40020112507045</v>
      </c>
      <c r="U4">
        <v>2.3943604170344699</v>
      </c>
      <c r="V4">
        <v>2.40020112507045</v>
      </c>
      <c r="W4">
        <v>2.8924032499780798</v>
      </c>
      <c r="X4">
        <v>2.8924032499780798</v>
      </c>
      <c r="Y4">
        <v>2.8924032499780798</v>
      </c>
      <c r="Z4">
        <v>3.3455609170487102</v>
      </c>
      <c r="AA4" t="s">
        <v>65</v>
      </c>
      <c r="AB4">
        <v>1</v>
      </c>
      <c r="AC4">
        <v>0.44704204204026599</v>
      </c>
      <c r="AD4" t="s">
        <v>55</v>
      </c>
      <c r="AI4">
        <v>2</v>
      </c>
      <c r="AJ4">
        <v>1</v>
      </c>
      <c r="AK4" t="s">
        <v>69</v>
      </c>
      <c r="AL4" t="s">
        <v>53</v>
      </c>
      <c r="AN4" t="s">
        <v>54</v>
      </c>
      <c r="AO4" t="s">
        <v>55</v>
      </c>
      <c r="AP4" t="s">
        <v>70</v>
      </c>
    </row>
    <row r="5" spans="1:43" x14ac:dyDescent="0.2">
      <c r="A5" t="s">
        <v>57</v>
      </c>
      <c r="B5" t="s">
        <v>58</v>
      </c>
      <c r="C5" t="s">
        <v>59</v>
      </c>
      <c r="D5" t="s">
        <v>60</v>
      </c>
      <c r="E5" t="s">
        <v>61</v>
      </c>
      <c r="F5">
        <v>2</v>
      </c>
      <c r="G5">
        <v>2</v>
      </c>
      <c r="H5">
        <v>0</v>
      </c>
      <c r="I5" t="s">
        <v>61</v>
      </c>
      <c r="J5">
        <v>1</v>
      </c>
      <c r="K5">
        <v>0.54967016999999996</v>
      </c>
      <c r="L5" t="s">
        <v>55</v>
      </c>
      <c r="M5">
        <v>0</v>
      </c>
      <c r="N5">
        <v>2</v>
      </c>
      <c r="O5">
        <v>2</v>
      </c>
      <c r="P5">
        <v>1</v>
      </c>
      <c r="Q5">
        <v>3.3540797090390599</v>
      </c>
      <c r="U5">
        <v>3.3497880840441199</v>
      </c>
      <c r="V5">
        <v>3.3540797090390599</v>
      </c>
      <c r="W5">
        <v>3.8416517500299898</v>
      </c>
      <c r="X5">
        <v>3.8416517500299898</v>
      </c>
      <c r="Y5">
        <v>3.8416517500299898</v>
      </c>
      <c r="Z5">
        <v>4.3953100799999998</v>
      </c>
      <c r="AA5" t="s">
        <v>61</v>
      </c>
      <c r="AB5">
        <v>1</v>
      </c>
      <c r="AC5">
        <v>0.54967016999999996</v>
      </c>
      <c r="AD5" t="s">
        <v>55</v>
      </c>
      <c r="AI5">
        <v>2</v>
      </c>
      <c r="AJ5">
        <v>1</v>
      </c>
      <c r="AK5" t="s">
        <v>69</v>
      </c>
      <c r="AL5" t="s">
        <v>53</v>
      </c>
      <c r="AN5" t="s">
        <v>54</v>
      </c>
      <c r="AO5" t="s">
        <v>55</v>
      </c>
      <c r="AP5" t="s">
        <v>70</v>
      </c>
    </row>
    <row r="6" spans="1:43" x14ac:dyDescent="0.2">
      <c r="A6" t="s">
        <v>57</v>
      </c>
      <c r="B6" t="s">
        <v>62</v>
      </c>
      <c r="C6" t="s">
        <v>63</v>
      </c>
      <c r="D6" t="s">
        <v>64</v>
      </c>
      <c r="E6" t="s">
        <v>65</v>
      </c>
      <c r="F6">
        <v>3</v>
      </c>
      <c r="G6">
        <v>3</v>
      </c>
      <c r="H6">
        <v>0</v>
      </c>
      <c r="I6" t="s">
        <v>65</v>
      </c>
      <c r="J6">
        <v>1</v>
      </c>
      <c r="K6">
        <v>0.47605679102707599</v>
      </c>
      <c r="L6" t="s">
        <v>55</v>
      </c>
      <c r="M6">
        <v>0</v>
      </c>
      <c r="N6">
        <v>3</v>
      </c>
      <c r="O6">
        <v>3</v>
      </c>
      <c r="P6">
        <v>0</v>
      </c>
      <c r="Q6">
        <v>4.4011023750062996</v>
      </c>
      <c r="U6">
        <v>4.3957322920905399</v>
      </c>
      <c r="V6">
        <v>4.4011023750062996</v>
      </c>
      <c r="W6">
        <v>4.8922623340040401</v>
      </c>
      <c r="X6">
        <v>4.8922623340040401</v>
      </c>
      <c r="Y6">
        <v>4.8922623340040401</v>
      </c>
      <c r="Z6">
        <v>5.3789326670812398</v>
      </c>
      <c r="AA6" t="s">
        <v>65</v>
      </c>
      <c r="AB6">
        <v>1</v>
      </c>
      <c r="AC6">
        <v>0.47605679102707599</v>
      </c>
      <c r="AD6" t="s">
        <v>55</v>
      </c>
      <c r="AI6">
        <v>2</v>
      </c>
      <c r="AJ6">
        <v>1</v>
      </c>
      <c r="AK6" t="s">
        <v>69</v>
      </c>
      <c r="AL6" t="s">
        <v>53</v>
      </c>
      <c r="AN6" t="s">
        <v>54</v>
      </c>
      <c r="AO6" t="s">
        <v>55</v>
      </c>
      <c r="AP6" t="s">
        <v>70</v>
      </c>
    </row>
    <row r="7" spans="1:43" x14ac:dyDescent="0.2">
      <c r="A7" t="s">
        <v>57</v>
      </c>
      <c r="B7" t="s">
        <v>62</v>
      </c>
      <c r="C7" t="s">
        <v>63</v>
      </c>
      <c r="D7" t="s">
        <v>64</v>
      </c>
      <c r="E7" t="s">
        <v>65</v>
      </c>
      <c r="F7">
        <v>4</v>
      </c>
      <c r="G7">
        <v>0</v>
      </c>
      <c r="H7">
        <v>1</v>
      </c>
      <c r="I7" t="s">
        <v>65</v>
      </c>
      <c r="J7">
        <v>1</v>
      </c>
      <c r="K7">
        <v>0.35049966699443702</v>
      </c>
      <c r="L7" t="s">
        <v>55</v>
      </c>
      <c r="M7">
        <v>1</v>
      </c>
      <c r="N7">
        <v>0</v>
      </c>
      <c r="O7">
        <v>4</v>
      </c>
      <c r="P7">
        <v>0</v>
      </c>
      <c r="Q7">
        <v>5.3851646670373103</v>
      </c>
      <c r="U7">
        <v>5.3793739170068804</v>
      </c>
      <c r="V7">
        <v>5.3851646670373103</v>
      </c>
      <c r="W7">
        <v>5.8757522919913701</v>
      </c>
      <c r="X7">
        <v>5.8757522919913701</v>
      </c>
      <c r="Y7">
        <v>5.8757522919913701</v>
      </c>
      <c r="Z7">
        <v>6.2291540839942101</v>
      </c>
      <c r="AA7" t="s">
        <v>65</v>
      </c>
      <c r="AB7">
        <v>1</v>
      </c>
      <c r="AC7">
        <v>0.35049966699443702</v>
      </c>
      <c r="AD7" t="s">
        <v>55</v>
      </c>
      <c r="AI7">
        <v>2</v>
      </c>
      <c r="AJ7">
        <v>1</v>
      </c>
      <c r="AK7" t="s">
        <v>69</v>
      </c>
      <c r="AL7" t="s">
        <v>53</v>
      </c>
      <c r="AN7" t="s">
        <v>54</v>
      </c>
      <c r="AO7" t="s">
        <v>55</v>
      </c>
      <c r="AP7" t="s">
        <v>70</v>
      </c>
    </row>
    <row r="8" spans="1:43" x14ac:dyDescent="0.2">
      <c r="A8" t="s">
        <v>66</v>
      </c>
      <c r="B8" t="s">
        <v>62</v>
      </c>
      <c r="C8" t="s">
        <v>59</v>
      </c>
      <c r="D8" t="s">
        <v>60</v>
      </c>
      <c r="E8" t="s">
        <v>65</v>
      </c>
      <c r="F8">
        <v>5</v>
      </c>
      <c r="G8">
        <v>1</v>
      </c>
      <c r="H8">
        <v>1</v>
      </c>
      <c r="I8" t="s">
        <v>65</v>
      </c>
      <c r="J8">
        <v>1</v>
      </c>
      <c r="K8">
        <v>0.37880654190666901</v>
      </c>
      <c r="L8" t="s">
        <v>55</v>
      </c>
      <c r="M8">
        <v>1</v>
      </c>
      <c r="N8">
        <v>1</v>
      </c>
      <c r="O8">
        <v>5</v>
      </c>
      <c r="P8">
        <v>2</v>
      </c>
      <c r="Q8">
        <v>6.2447171669918999</v>
      </c>
      <c r="U8">
        <v>6.2314786249771696</v>
      </c>
      <c r="V8">
        <v>6.2447171669918999</v>
      </c>
      <c r="W8">
        <v>6.7255559600000003</v>
      </c>
      <c r="X8">
        <v>6.7255559600000003</v>
      </c>
      <c r="Y8">
        <v>6.7255559600000003</v>
      </c>
      <c r="Z8">
        <v>7.1121808750322</v>
      </c>
      <c r="AA8" t="s">
        <v>65</v>
      </c>
      <c r="AB8">
        <v>1</v>
      </c>
      <c r="AC8">
        <v>0.37880654190666901</v>
      </c>
      <c r="AD8" t="s">
        <v>55</v>
      </c>
      <c r="AI8">
        <v>2</v>
      </c>
      <c r="AJ8">
        <v>1</v>
      </c>
      <c r="AK8" t="s">
        <v>69</v>
      </c>
      <c r="AL8" t="s">
        <v>53</v>
      </c>
      <c r="AN8" t="s">
        <v>54</v>
      </c>
      <c r="AO8" t="s">
        <v>55</v>
      </c>
      <c r="AP8" t="s">
        <v>70</v>
      </c>
    </row>
    <row r="9" spans="1:43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>
        <v>6</v>
      </c>
      <c r="G9">
        <v>2</v>
      </c>
      <c r="H9">
        <v>1</v>
      </c>
      <c r="I9" t="s">
        <v>61</v>
      </c>
      <c r="J9">
        <v>1</v>
      </c>
      <c r="K9">
        <v>0.40001899993512702</v>
      </c>
      <c r="L9" t="s">
        <v>55</v>
      </c>
      <c r="M9">
        <v>1</v>
      </c>
      <c r="N9">
        <v>2</v>
      </c>
      <c r="O9">
        <v>6</v>
      </c>
      <c r="P9">
        <v>1</v>
      </c>
      <c r="Q9">
        <v>7.12017574999481</v>
      </c>
      <c r="U9">
        <v>7.1145339590730101</v>
      </c>
      <c r="V9">
        <v>7.12017574999481</v>
      </c>
      <c r="W9">
        <v>7.6093187499791304</v>
      </c>
      <c r="X9">
        <v>7.6093187499791304</v>
      </c>
      <c r="Y9">
        <v>7.6093187499791304</v>
      </c>
      <c r="Z9">
        <v>8.0123983800000005</v>
      </c>
      <c r="AA9" t="s">
        <v>61</v>
      </c>
      <c r="AB9">
        <v>1</v>
      </c>
      <c r="AC9">
        <v>0.40001899993512702</v>
      </c>
      <c r="AD9" t="s">
        <v>55</v>
      </c>
      <c r="AI9">
        <v>2</v>
      </c>
      <c r="AJ9">
        <v>1</v>
      </c>
      <c r="AK9" t="s">
        <v>69</v>
      </c>
      <c r="AL9" t="s">
        <v>53</v>
      </c>
      <c r="AN9" t="s">
        <v>54</v>
      </c>
      <c r="AO9" t="s">
        <v>55</v>
      </c>
      <c r="AP9" t="s">
        <v>70</v>
      </c>
    </row>
    <row r="10" spans="1:43" x14ac:dyDescent="0.2">
      <c r="A10" t="s">
        <v>66</v>
      </c>
      <c r="B10" t="s">
        <v>58</v>
      </c>
      <c r="C10" t="s">
        <v>63</v>
      </c>
      <c r="D10" t="s">
        <v>64</v>
      </c>
      <c r="E10" t="s">
        <v>61</v>
      </c>
      <c r="F10">
        <v>7</v>
      </c>
      <c r="G10">
        <v>3</v>
      </c>
      <c r="H10">
        <v>1</v>
      </c>
      <c r="I10" t="s">
        <v>61</v>
      </c>
      <c r="J10">
        <v>1</v>
      </c>
      <c r="K10">
        <v>0.41313850006554198</v>
      </c>
      <c r="L10" t="s">
        <v>55</v>
      </c>
      <c r="M10">
        <v>1</v>
      </c>
      <c r="N10">
        <v>3</v>
      </c>
      <c r="O10">
        <v>7</v>
      </c>
      <c r="P10">
        <v>3</v>
      </c>
      <c r="Q10">
        <v>8.0203295840183202</v>
      </c>
      <c r="U10">
        <v>8.0146130840293992</v>
      </c>
      <c r="V10">
        <v>8.0203295840183202</v>
      </c>
      <c r="W10">
        <v>8.5093060840153996</v>
      </c>
      <c r="X10">
        <v>8.5093060840153996</v>
      </c>
      <c r="Y10">
        <v>8.5093060840153996</v>
      </c>
      <c r="Z10">
        <v>8.9290726250037498</v>
      </c>
      <c r="AA10" t="s">
        <v>61</v>
      </c>
      <c r="AB10">
        <v>1</v>
      </c>
      <c r="AC10">
        <v>0.41313850006554198</v>
      </c>
      <c r="AD10" t="s">
        <v>55</v>
      </c>
      <c r="AI10">
        <v>2</v>
      </c>
      <c r="AJ10">
        <v>1</v>
      </c>
      <c r="AK10" t="s">
        <v>69</v>
      </c>
      <c r="AL10" t="s">
        <v>53</v>
      </c>
      <c r="AN10" t="s">
        <v>54</v>
      </c>
      <c r="AO10" t="s">
        <v>55</v>
      </c>
      <c r="AP10" t="s">
        <v>70</v>
      </c>
    </row>
    <row r="11" spans="1:43" x14ac:dyDescent="0.2">
      <c r="A11" t="s">
        <v>66</v>
      </c>
      <c r="B11" t="s">
        <v>62</v>
      </c>
      <c r="C11" t="s">
        <v>59</v>
      </c>
      <c r="D11" t="s">
        <v>60</v>
      </c>
      <c r="E11" t="s">
        <v>65</v>
      </c>
      <c r="F11">
        <v>8</v>
      </c>
      <c r="G11">
        <v>0</v>
      </c>
      <c r="H11">
        <v>2</v>
      </c>
      <c r="I11" t="s">
        <v>65</v>
      </c>
      <c r="J11">
        <v>1</v>
      </c>
      <c r="K11">
        <v>0.83091083297040302</v>
      </c>
      <c r="L11" t="s">
        <v>55</v>
      </c>
      <c r="M11">
        <v>2</v>
      </c>
      <c r="N11">
        <v>0</v>
      </c>
      <c r="O11">
        <v>8</v>
      </c>
      <c r="P11">
        <v>2</v>
      </c>
      <c r="Q11">
        <v>8.9352286669891292</v>
      </c>
      <c r="U11">
        <v>8.9295255000000004</v>
      </c>
      <c r="V11">
        <v>8.9352286669891292</v>
      </c>
      <c r="W11">
        <v>9.4255267500411701</v>
      </c>
      <c r="X11">
        <v>9.4255267500411701</v>
      </c>
      <c r="Y11">
        <v>9.4255267500411701</v>
      </c>
      <c r="Z11">
        <v>10.2625730420695</v>
      </c>
      <c r="AA11" t="s">
        <v>65</v>
      </c>
      <c r="AB11">
        <v>1</v>
      </c>
      <c r="AC11">
        <v>0.83091083297040302</v>
      </c>
      <c r="AD11" t="s">
        <v>55</v>
      </c>
      <c r="AI11">
        <v>2</v>
      </c>
      <c r="AJ11">
        <v>1</v>
      </c>
      <c r="AK11" t="s">
        <v>69</v>
      </c>
      <c r="AL11" t="s">
        <v>53</v>
      </c>
      <c r="AN11" t="s">
        <v>54</v>
      </c>
      <c r="AO11" t="s">
        <v>55</v>
      </c>
      <c r="AP11" t="s">
        <v>70</v>
      </c>
    </row>
    <row r="12" spans="1:43" x14ac:dyDescent="0.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>
        <v>9</v>
      </c>
      <c r="G12">
        <v>1</v>
      </c>
      <c r="H12">
        <v>2</v>
      </c>
      <c r="I12" t="s">
        <v>61</v>
      </c>
      <c r="J12">
        <v>1</v>
      </c>
      <c r="K12">
        <v>1.23714400001335</v>
      </c>
      <c r="L12" t="s">
        <v>55</v>
      </c>
      <c r="M12">
        <v>2</v>
      </c>
      <c r="N12">
        <v>1</v>
      </c>
      <c r="O12">
        <v>9</v>
      </c>
      <c r="P12">
        <v>1</v>
      </c>
      <c r="Q12">
        <v>10.270529709057801</v>
      </c>
      <c r="U12">
        <v>10.264841417083501</v>
      </c>
      <c r="V12">
        <v>10.270529709057801</v>
      </c>
      <c r="W12">
        <v>10.7593484170502</v>
      </c>
      <c r="X12">
        <v>10.7593484170502</v>
      </c>
      <c r="Y12">
        <v>10.7593484170502</v>
      </c>
      <c r="Z12">
        <v>12.0020791250281</v>
      </c>
      <c r="AA12" t="s">
        <v>61</v>
      </c>
      <c r="AB12">
        <v>1</v>
      </c>
      <c r="AC12">
        <v>1.23714400001335</v>
      </c>
      <c r="AD12" t="s">
        <v>55</v>
      </c>
      <c r="AI12">
        <v>2</v>
      </c>
      <c r="AJ12">
        <v>1</v>
      </c>
      <c r="AK12" t="s">
        <v>69</v>
      </c>
      <c r="AL12" t="s">
        <v>53</v>
      </c>
      <c r="AN12" t="s">
        <v>54</v>
      </c>
      <c r="AO12" t="s">
        <v>55</v>
      </c>
      <c r="AP12" t="s">
        <v>70</v>
      </c>
    </row>
    <row r="13" spans="1:43" x14ac:dyDescent="0.2">
      <c r="A13" t="s">
        <v>57</v>
      </c>
      <c r="B13" t="s">
        <v>62</v>
      </c>
      <c r="C13" t="s">
        <v>63</v>
      </c>
      <c r="D13" t="s">
        <v>64</v>
      </c>
      <c r="E13" t="s">
        <v>65</v>
      </c>
      <c r="F13">
        <v>10</v>
      </c>
      <c r="G13">
        <v>2</v>
      </c>
      <c r="H13">
        <v>2</v>
      </c>
      <c r="I13" t="s">
        <v>65</v>
      </c>
      <c r="J13">
        <v>1</v>
      </c>
      <c r="K13">
        <v>0.67110499995760597</v>
      </c>
      <c r="L13" t="s">
        <v>55</v>
      </c>
      <c r="M13">
        <v>2</v>
      </c>
      <c r="N13">
        <v>2</v>
      </c>
      <c r="O13">
        <v>10</v>
      </c>
      <c r="P13">
        <v>0</v>
      </c>
      <c r="Q13">
        <v>12.0085747090633</v>
      </c>
      <c r="U13">
        <v>12.0025064590154</v>
      </c>
      <c r="V13">
        <v>12.0085747090633</v>
      </c>
      <c r="W13">
        <v>12.4994070420507</v>
      </c>
      <c r="X13">
        <v>12.4994070420507</v>
      </c>
      <c r="Y13">
        <v>12.4994070420507</v>
      </c>
      <c r="Z13">
        <v>13.179508625064001</v>
      </c>
      <c r="AA13" t="s">
        <v>65</v>
      </c>
      <c r="AB13">
        <v>1</v>
      </c>
      <c r="AC13">
        <v>0.67110499995760597</v>
      </c>
      <c r="AD13" t="s">
        <v>55</v>
      </c>
      <c r="AI13">
        <v>2</v>
      </c>
      <c r="AJ13">
        <v>1</v>
      </c>
      <c r="AK13" t="s">
        <v>69</v>
      </c>
      <c r="AL13" t="s">
        <v>53</v>
      </c>
      <c r="AN13" t="s">
        <v>54</v>
      </c>
      <c r="AO13" t="s">
        <v>55</v>
      </c>
      <c r="AP13" t="s">
        <v>70</v>
      </c>
    </row>
    <row r="14" spans="1:43" x14ac:dyDescent="0.2">
      <c r="A14" t="s">
        <v>66</v>
      </c>
      <c r="B14" t="s">
        <v>58</v>
      </c>
      <c r="C14" t="s">
        <v>63</v>
      </c>
      <c r="D14" t="s">
        <v>64</v>
      </c>
      <c r="E14" t="s">
        <v>61</v>
      </c>
      <c r="F14">
        <v>11</v>
      </c>
      <c r="G14">
        <v>3</v>
      </c>
      <c r="H14">
        <v>2</v>
      </c>
      <c r="I14" t="s">
        <v>61</v>
      </c>
      <c r="J14">
        <v>1</v>
      </c>
      <c r="K14">
        <v>0.45749512501060902</v>
      </c>
      <c r="L14" t="s">
        <v>55</v>
      </c>
      <c r="M14">
        <v>2</v>
      </c>
      <c r="N14">
        <v>3</v>
      </c>
      <c r="O14">
        <v>11</v>
      </c>
      <c r="P14">
        <v>3</v>
      </c>
      <c r="Q14">
        <v>13.187831875053201</v>
      </c>
      <c r="U14">
        <v>13.182148416992201</v>
      </c>
      <c r="V14">
        <v>13.187831875053201</v>
      </c>
      <c r="W14">
        <v>13.675903334049501</v>
      </c>
      <c r="X14">
        <v>13.675903334049501</v>
      </c>
      <c r="Y14">
        <v>13.675903334049501</v>
      </c>
      <c r="Z14">
        <v>14.1354594170115</v>
      </c>
      <c r="AA14" t="s">
        <v>61</v>
      </c>
      <c r="AB14">
        <v>1</v>
      </c>
      <c r="AC14">
        <v>0.45749512501060902</v>
      </c>
      <c r="AD14" t="s">
        <v>55</v>
      </c>
      <c r="AI14">
        <v>2</v>
      </c>
      <c r="AJ14">
        <v>1</v>
      </c>
      <c r="AK14" t="s">
        <v>69</v>
      </c>
      <c r="AL14" t="s">
        <v>53</v>
      </c>
      <c r="AN14" t="s">
        <v>54</v>
      </c>
      <c r="AO14" t="s">
        <v>55</v>
      </c>
      <c r="AP14" t="s">
        <v>70</v>
      </c>
    </row>
    <row r="15" spans="1:43" x14ac:dyDescent="0.2">
      <c r="A15" t="s">
        <v>57</v>
      </c>
      <c r="B15" t="s">
        <v>62</v>
      </c>
      <c r="C15" t="s">
        <v>63</v>
      </c>
      <c r="D15" t="s">
        <v>64</v>
      </c>
      <c r="E15" t="s">
        <v>65</v>
      </c>
      <c r="F15">
        <v>12</v>
      </c>
      <c r="G15">
        <v>0</v>
      </c>
      <c r="H15">
        <v>3</v>
      </c>
      <c r="I15" t="s">
        <v>65</v>
      </c>
      <c r="J15">
        <v>1</v>
      </c>
      <c r="K15">
        <v>0.61062758404295803</v>
      </c>
      <c r="L15" t="s">
        <v>55</v>
      </c>
      <c r="M15">
        <v>3</v>
      </c>
      <c r="N15">
        <v>0</v>
      </c>
      <c r="O15">
        <v>12</v>
      </c>
      <c r="P15">
        <v>0</v>
      </c>
      <c r="Q15">
        <v>14.143440874991899</v>
      </c>
      <c r="U15">
        <v>14.1376138339983</v>
      </c>
      <c r="V15">
        <v>14.143440874991899</v>
      </c>
      <c r="W15">
        <v>14.6336768750334</v>
      </c>
      <c r="X15">
        <v>14.6336768750334</v>
      </c>
      <c r="Y15">
        <v>14.6336768750334</v>
      </c>
      <c r="Z15">
        <v>15.245749709079901</v>
      </c>
      <c r="AA15" t="s">
        <v>65</v>
      </c>
      <c r="AB15">
        <v>1</v>
      </c>
      <c r="AC15">
        <v>0.61062758404295803</v>
      </c>
      <c r="AD15" t="s">
        <v>55</v>
      </c>
      <c r="AI15">
        <v>2</v>
      </c>
      <c r="AJ15">
        <v>1</v>
      </c>
      <c r="AK15" t="s">
        <v>69</v>
      </c>
      <c r="AL15" t="s">
        <v>53</v>
      </c>
      <c r="AN15" t="s">
        <v>54</v>
      </c>
      <c r="AO15" t="s">
        <v>55</v>
      </c>
      <c r="AP15" t="s">
        <v>70</v>
      </c>
    </row>
    <row r="16" spans="1:43" x14ac:dyDescent="0.2">
      <c r="A16" t="s">
        <v>66</v>
      </c>
      <c r="B16" t="s">
        <v>62</v>
      </c>
      <c r="C16" t="s">
        <v>59</v>
      </c>
      <c r="D16" t="s">
        <v>60</v>
      </c>
      <c r="E16" t="s">
        <v>65</v>
      </c>
      <c r="F16">
        <v>13</v>
      </c>
      <c r="G16">
        <v>1</v>
      </c>
      <c r="H16">
        <v>3</v>
      </c>
      <c r="I16" t="s">
        <v>65</v>
      </c>
      <c r="J16">
        <v>1</v>
      </c>
      <c r="K16">
        <v>0.83483921000000005</v>
      </c>
      <c r="L16" t="s">
        <v>55</v>
      </c>
      <c r="M16">
        <v>3</v>
      </c>
      <c r="N16">
        <v>1</v>
      </c>
      <c r="O16">
        <v>13</v>
      </c>
      <c r="P16">
        <v>2</v>
      </c>
      <c r="Q16">
        <v>15.253371166996599</v>
      </c>
      <c r="U16">
        <v>15.2479397500865</v>
      </c>
      <c r="V16">
        <v>15.253371166996599</v>
      </c>
      <c r="W16">
        <v>15.7424477500608</v>
      </c>
      <c r="X16">
        <v>15.7424477500608</v>
      </c>
      <c r="Y16">
        <v>15.7424477500608</v>
      </c>
      <c r="Z16">
        <v>16.579571167007</v>
      </c>
      <c r="AA16" t="s">
        <v>65</v>
      </c>
      <c r="AB16">
        <v>1</v>
      </c>
      <c r="AC16">
        <v>0.83483921000000005</v>
      </c>
      <c r="AD16" t="s">
        <v>55</v>
      </c>
      <c r="AI16">
        <v>2</v>
      </c>
      <c r="AJ16">
        <v>1</v>
      </c>
      <c r="AK16" t="s">
        <v>69</v>
      </c>
      <c r="AL16" t="s">
        <v>53</v>
      </c>
      <c r="AN16" t="s">
        <v>54</v>
      </c>
      <c r="AO16" t="s">
        <v>55</v>
      </c>
      <c r="AP16" t="s">
        <v>70</v>
      </c>
    </row>
    <row r="17" spans="1:42" x14ac:dyDescent="0.2">
      <c r="A17" t="s">
        <v>66</v>
      </c>
      <c r="B17" t="s">
        <v>58</v>
      </c>
      <c r="C17" t="s">
        <v>63</v>
      </c>
      <c r="D17" t="s">
        <v>64</v>
      </c>
      <c r="E17" t="s">
        <v>61</v>
      </c>
      <c r="F17">
        <v>14</v>
      </c>
      <c r="G17">
        <v>2</v>
      </c>
      <c r="H17">
        <v>3</v>
      </c>
      <c r="I17" t="s">
        <v>61</v>
      </c>
      <c r="J17">
        <v>1</v>
      </c>
      <c r="K17">
        <v>0.44617225008550998</v>
      </c>
      <c r="L17" t="s">
        <v>55</v>
      </c>
      <c r="M17">
        <v>3</v>
      </c>
      <c r="N17">
        <v>2</v>
      </c>
      <c r="O17">
        <v>14</v>
      </c>
      <c r="P17">
        <v>3</v>
      </c>
      <c r="Q17">
        <v>16.585797875071801</v>
      </c>
      <c r="U17">
        <v>16.580078500090099</v>
      </c>
      <c r="V17">
        <v>16.585797875071801</v>
      </c>
      <c r="W17">
        <v>17.076250749989399</v>
      </c>
      <c r="X17">
        <v>17.076250749989399</v>
      </c>
      <c r="Y17">
        <v>17.076250749989399</v>
      </c>
      <c r="Z17">
        <v>17.5294488749932</v>
      </c>
      <c r="AA17" t="s">
        <v>61</v>
      </c>
      <c r="AB17">
        <v>1</v>
      </c>
      <c r="AC17">
        <v>0.44617225008550998</v>
      </c>
      <c r="AD17" t="s">
        <v>55</v>
      </c>
      <c r="AI17">
        <v>2</v>
      </c>
      <c r="AJ17">
        <v>1</v>
      </c>
      <c r="AK17" t="s">
        <v>69</v>
      </c>
      <c r="AL17" t="s">
        <v>53</v>
      </c>
      <c r="AN17" t="s">
        <v>54</v>
      </c>
      <c r="AO17" t="s">
        <v>55</v>
      </c>
      <c r="AP17" t="s">
        <v>70</v>
      </c>
    </row>
    <row r="18" spans="1:42" x14ac:dyDescent="0.2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>
        <v>15</v>
      </c>
      <c r="G18">
        <v>3</v>
      </c>
      <c r="H18">
        <v>3</v>
      </c>
      <c r="I18" t="s">
        <v>61</v>
      </c>
      <c r="J18">
        <v>1</v>
      </c>
      <c r="K18">
        <v>0.44143579201772798</v>
      </c>
      <c r="L18" t="s">
        <v>55</v>
      </c>
      <c r="M18">
        <v>3</v>
      </c>
      <c r="N18">
        <v>3</v>
      </c>
      <c r="O18">
        <v>15</v>
      </c>
      <c r="P18">
        <v>1</v>
      </c>
      <c r="Q18">
        <v>17.537420000066</v>
      </c>
      <c r="U18">
        <v>17.531763250008201</v>
      </c>
      <c r="V18">
        <v>17.537420000066</v>
      </c>
      <c r="W18">
        <v>18.025974250049298</v>
      </c>
      <c r="X18">
        <v>18.025974250049298</v>
      </c>
      <c r="Y18">
        <v>18.025974250049298</v>
      </c>
      <c r="Z18">
        <v>18.469013708992801</v>
      </c>
      <c r="AA18" t="s">
        <v>61</v>
      </c>
      <c r="AB18">
        <v>1</v>
      </c>
      <c r="AC18">
        <v>0.44143579201772798</v>
      </c>
      <c r="AD18" t="s">
        <v>55</v>
      </c>
      <c r="AI18">
        <v>2</v>
      </c>
      <c r="AJ18">
        <v>1</v>
      </c>
      <c r="AK18" t="s">
        <v>69</v>
      </c>
      <c r="AL18" t="s">
        <v>53</v>
      </c>
      <c r="AN18" t="s">
        <v>54</v>
      </c>
      <c r="AO18" t="s">
        <v>55</v>
      </c>
      <c r="AP18" t="s">
        <v>70</v>
      </c>
    </row>
    <row r="19" spans="1:42" x14ac:dyDescent="0.2">
      <c r="A19" t="s">
        <v>66</v>
      </c>
      <c r="B19" t="s">
        <v>58</v>
      </c>
      <c r="C19" t="s">
        <v>63</v>
      </c>
      <c r="D19" t="s">
        <v>64</v>
      </c>
      <c r="E19" t="s">
        <v>61</v>
      </c>
      <c r="F19">
        <v>16</v>
      </c>
      <c r="G19">
        <v>0</v>
      </c>
      <c r="H19">
        <v>4</v>
      </c>
      <c r="I19" t="s">
        <v>61</v>
      </c>
      <c r="J19">
        <v>1</v>
      </c>
      <c r="K19">
        <v>0.450301458011381</v>
      </c>
      <c r="L19" t="s">
        <v>55</v>
      </c>
      <c r="M19">
        <v>4</v>
      </c>
      <c r="N19">
        <v>0</v>
      </c>
      <c r="O19">
        <v>16</v>
      </c>
      <c r="P19">
        <v>3</v>
      </c>
      <c r="Q19">
        <v>18.476917625055599</v>
      </c>
      <c r="U19">
        <v>18.471216792007901</v>
      </c>
      <c r="V19">
        <v>18.476917625055599</v>
      </c>
      <c r="W19">
        <v>18.9662103339796</v>
      </c>
      <c r="X19">
        <v>18.9662103339796</v>
      </c>
      <c r="Y19">
        <v>18.9662103339796</v>
      </c>
      <c r="Z19">
        <v>19.418552334071101</v>
      </c>
      <c r="AA19" t="s">
        <v>61</v>
      </c>
      <c r="AB19">
        <v>1</v>
      </c>
      <c r="AC19">
        <v>0.450301458011381</v>
      </c>
      <c r="AD19" t="s">
        <v>55</v>
      </c>
      <c r="AI19">
        <v>2</v>
      </c>
      <c r="AJ19">
        <v>1</v>
      </c>
      <c r="AK19" t="s">
        <v>69</v>
      </c>
      <c r="AL19" t="s">
        <v>53</v>
      </c>
      <c r="AN19" t="s">
        <v>54</v>
      </c>
      <c r="AO19" t="s">
        <v>55</v>
      </c>
      <c r="AP19" t="s">
        <v>70</v>
      </c>
    </row>
    <row r="20" spans="1:42" x14ac:dyDescent="0.2">
      <c r="A20" t="s">
        <v>57</v>
      </c>
      <c r="B20" t="s">
        <v>62</v>
      </c>
      <c r="C20" t="s">
        <v>63</v>
      </c>
      <c r="D20" t="s">
        <v>64</v>
      </c>
      <c r="E20" t="s">
        <v>65</v>
      </c>
      <c r="F20">
        <v>17</v>
      </c>
      <c r="G20">
        <v>1</v>
      </c>
      <c r="H20">
        <v>4</v>
      </c>
      <c r="I20" t="s">
        <v>65</v>
      </c>
      <c r="J20">
        <v>1</v>
      </c>
      <c r="K20">
        <v>0.39697350002825199</v>
      </c>
      <c r="L20" t="s">
        <v>55</v>
      </c>
      <c r="M20">
        <v>4</v>
      </c>
      <c r="N20">
        <v>1</v>
      </c>
      <c r="O20">
        <v>17</v>
      </c>
      <c r="P20">
        <v>0</v>
      </c>
      <c r="Q20">
        <v>19.4265103340148</v>
      </c>
      <c r="U20">
        <v>19.420730500016301</v>
      </c>
      <c r="V20">
        <v>19.4265103340148</v>
      </c>
      <c r="W20">
        <v>19.917536800000001</v>
      </c>
      <c r="X20">
        <v>19.917536800000001</v>
      </c>
      <c r="Y20">
        <v>19.917536800000001</v>
      </c>
      <c r="Z20">
        <v>20.318134624976601</v>
      </c>
      <c r="AA20" t="s">
        <v>65</v>
      </c>
      <c r="AB20">
        <v>1</v>
      </c>
      <c r="AC20">
        <v>0.39697350002825199</v>
      </c>
      <c r="AD20" t="s">
        <v>55</v>
      </c>
      <c r="AI20">
        <v>2</v>
      </c>
      <c r="AJ20">
        <v>1</v>
      </c>
      <c r="AK20" t="s">
        <v>69</v>
      </c>
      <c r="AL20" t="s">
        <v>53</v>
      </c>
      <c r="AN20" t="s">
        <v>54</v>
      </c>
      <c r="AO20" t="s">
        <v>55</v>
      </c>
      <c r="AP20" t="s">
        <v>70</v>
      </c>
    </row>
    <row r="21" spans="1:42" x14ac:dyDescent="0.2">
      <c r="A21" t="s">
        <v>66</v>
      </c>
      <c r="B21" t="s">
        <v>62</v>
      </c>
      <c r="C21" t="s">
        <v>59</v>
      </c>
      <c r="D21" t="s">
        <v>60</v>
      </c>
      <c r="E21" t="s">
        <v>65</v>
      </c>
      <c r="F21">
        <v>18</v>
      </c>
      <c r="G21">
        <v>2</v>
      </c>
      <c r="H21">
        <v>4</v>
      </c>
      <c r="I21" t="s">
        <v>65</v>
      </c>
      <c r="J21">
        <v>1</v>
      </c>
      <c r="K21">
        <v>0.56659607999999995</v>
      </c>
      <c r="L21" t="s">
        <v>55</v>
      </c>
      <c r="M21">
        <v>4</v>
      </c>
      <c r="N21">
        <v>2</v>
      </c>
      <c r="O21">
        <v>18</v>
      </c>
      <c r="P21">
        <v>2</v>
      </c>
      <c r="Q21">
        <v>20.326180584030201</v>
      </c>
      <c r="U21">
        <v>20.3204212919808</v>
      </c>
      <c r="V21">
        <v>20.326180584030201</v>
      </c>
      <c r="W21">
        <v>20.816965625039298</v>
      </c>
      <c r="X21">
        <v>20.816965625039298</v>
      </c>
      <c r="Y21">
        <v>20.816965625039298</v>
      </c>
      <c r="Z21">
        <v>21.385483958991198</v>
      </c>
      <c r="AA21" t="s">
        <v>65</v>
      </c>
      <c r="AB21">
        <v>1</v>
      </c>
      <c r="AC21">
        <v>0.56659607999999995</v>
      </c>
      <c r="AD21" t="s">
        <v>55</v>
      </c>
      <c r="AI21">
        <v>2</v>
      </c>
      <c r="AJ21">
        <v>1</v>
      </c>
      <c r="AK21" t="s">
        <v>69</v>
      </c>
      <c r="AL21" t="s">
        <v>53</v>
      </c>
      <c r="AN21" t="s">
        <v>54</v>
      </c>
      <c r="AO21" t="s">
        <v>55</v>
      </c>
      <c r="AP21" t="s">
        <v>70</v>
      </c>
    </row>
    <row r="22" spans="1:42" x14ac:dyDescent="0.2">
      <c r="A22" t="s">
        <v>57</v>
      </c>
      <c r="B22" t="s">
        <v>58</v>
      </c>
      <c r="C22" t="s">
        <v>59</v>
      </c>
      <c r="D22" t="s">
        <v>60</v>
      </c>
      <c r="E22" t="s">
        <v>61</v>
      </c>
      <c r="F22">
        <v>19</v>
      </c>
      <c r="G22">
        <v>3</v>
      </c>
      <c r="H22">
        <v>4</v>
      </c>
      <c r="I22" t="s">
        <v>61</v>
      </c>
      <c r="J22">
        <v>1</v>
      </c>
      <c r="K22">
        <v>0.56709625001531005</v>
      </c>
      <c r="L22" t="s">
        <v>55</v>
      </c>
      <c r="M22">
        <v>4</v>
      </c>
      <c r="N22">
        <v>3</v>
      </c>
      <c r="O22">
        <v>19</v>
      </c>
      <c r="P22">
        <v>1</v>
      </c>
      <c r="Q22">
        <v>21.3937693750485</v>
      </c>
      <c r="U22">
        <v>21.387964792083899</v>
      </c>
      <c r="V22">
        <v>21.3937693750485</v>
      </c>
      <c r="W22">
        <v>21.8843881670618</v>
      </c>
      <c r="X22">
        <v>21.8843881670618</v>
      </c>
      <c r="Y22">
        <v>21.8843881670618</v>
      </c>
      <c r="Z22">
        <v>22.452686042059199</v>
      </c>
      <c r="AA22" t="s">
        <v>61</v>
      </c>
      <c r="AB22">
        <v>1</v>
      </c>
      <c r="AC22">
        <v>0.56709625001531005</v>
      </c>
      <c r="AD22" t="s">
        <v>55</v>
      </c>
      <c r="AI22">
        <v>2</v>
      </c>
      <c r="AJ22">
        <v>1</v>
      </c>
      <c r="AK22" t="s">
        <v>69</v>
      </c>
      <c r="AL22" t="s">
        <v>53</v>
      </c>
      <c r="AN22" t="s">
        <v>54</v>
      </c>
      <c r="AO22" t="s">
        <v>55</v>
      </c>
      <c r="AP22" t="s">
        <v>70</v>
      </c>
    </row>
    <row r="23" spans="1:42" x14ac:dyDescent="0.2">
      <c r="A23" t="s">
        <v>57</v>
      </c>
      <c r="B23" t="s">
        <v>62</v>
      </c>
      <c r="C23" t="s">
        <v>63</v>
      </c>
      <c r="D23" t="s">
        <v>64</v>
      </c>
      <c r="E23" t="s">
        <v>65</v>
      </c>
      <c r="F23">
        <v>20</v>
      </c>
      <c r="G23">
        <v>0</v>
      </c>
      <c r="H23">
        <v>5</v>
      </c>
      <c r="I23" t="s">
        <v>65</v>
      </c>
      <c r="J23">
        <v>1</v>
      </c>
      <c r="K23">
        <v>0.55546508298721098</v>
      </c>
      <c r="L23" t="s">
        <v>55</v>
      </c>
      <c r="M23">
        <v>5</v>
      </c>
      <c r="N23">
        <v>0</v>
      </c>
      <c r="O23">
        <v>20</v>
      </c>
      <c r="P23">
        <v>0</v>
      </c>
      <c r="Q23">
        <v>22.458943417062901</v>
      </c>
      <c r="U23">
        <v>22.453105300000001</v>
      </c>
      <c r="V23">
        <v>22.458943417062901</v>
      </c>
      <c r="W23">
        <v>22.950134917045901</v>
      </c>
      <c r="X23">
        <v>22.950134917045901</v>
      </c>
      <c r="Y23">
        <v>22.950134917045901</v>
      </c>
      <c r="Z23">
        <v>23.513138959067799</v>
      </c>
      <c r="AA23" t="s">
        <v>65</v>
      </c>
      <c r="AB23">
        <v>1</v>
      </c>
      <c r="AC23">
        <v>0.55546508298721098</v>
      </c>
      <c r="AD23" t="s">
        <v>55</v>
      </c>
      <c r="AI23">
        <v>2</v>
      </c>
      <c r="AJ23">
        <v>1</v>
      </c>
      <c r="AK23" t="s">
        <v>69</v>
      </c>
      <c r="AL23" t="s">
        <v>53</v>
      </c>
      <c r="AN23" t="s">
        <v>54</v>
      </c>
      <c r="AO23" t="s">
        <v>55</v>
      </c>
      <c r="AP23" t="s">
        <v>70</v>
      </c>
    </row>
    <row r="24" spans="1:42" x14ac:dyDescent="0.2">
      <c r="A24" t="s">
        <v>66</v>
      </c>
      <c r="B24" t="s">
        <v>62</v>
      </c>
      <c r="C24" t="s">
        <v>59</v>
      </c>
      <c r="D24" t="s">
        <v>60</v>
      </c>
      <c r="E24" t="s">
        <v>65</v>
      </c>
      <c r="F24">
        <v>21</v>
      </c>
      <c r="G24">
        <v>1</v>
      </c>
      <c r="H24">
        <v>5</v>
      </c>
      <c r="I24" t="s">
        <v>65</v>
      </c>
      <c r="J24">
        <v>1</v>
      </c>
      <c r="K24">
        <v>0.63293404097203099</v>
      </c>
      <c r="L24" t="s">
        <v>55</v>
      </c>
      <c r="M24">
        <v>5</v>
      </c>
      <c r="N24">
        <v>1</v>
      </c>
      <c r="O24">
        <v>21</v>
      </c>
      <c r="P24">
        <v>2</v>
      </c>
      <c r="Q24">
        <v>23.521107834065301</v>
      </c>
      <c r="U24">
        <v>23.515371875022499</v>
      </c>
      <c r="V24">
        <v>23.521107834065301</v>
      </c>
      <c r="W24">
        <v>24.0096626250306</v>
      </c>
      <c r="X24">
        <v>24.0096626250306</v>
      </c>
      <c r="Y24">
        <v>24.0096626250306</v>
      </c>
      <c r="Z24">
        <v>24.646433209068999</v>
      </c>
      <c r="AA24" t="s">
        <v>65</v>
      </c>
      <c r="AB24">
        <v>1</v>
      </c>
      <c r="AC24">
        <v>0.63293404097203099</v>
      </c>
      <c r="AD24" t="s">
        <v>55</v>
      </c>
      <c r="AI24">
        <v>2</v>
      </c>
      <c r="AJ24">
        <v>1</v>
      </c>
      <c r="AK24" t="s">
        <v>69</v>
      </c>
      <c r="AL24" t="s">
        <v>53</v>
      </c>
      <c r="AN24" t="s">
        <v>54</v>
      </c>
      <c r="AO24" t="s">
        <v>55</v>
      </c>
      <c r="AP24" t="s">
        <v>70</v>
      </c>
    </row>
    <row r="25" spans="1:42" x14ac:dyDescent="0.2">
      <c r="A25" t="s">
        <v>66</v>
      </c>
      <c r="B25" t="s">
        <v>58</v>
      </c>
      <c r="C25" t="s">
        <v>63</v>
      </c>
      <c r="D25" t="s">
        <v>64</v>
      </c>
      <c r="E25" t="s">
        <v>61</v>
      </c>
      <c r="F25">
        <v>22</v>
      </c>
      <c r="G25">
        <v>2</v>
      </c>
      <c r="H25">
        <v>5</v>
      </c>
      <c r="I25" t="s">
        <v>61</v>
      </c>
      <c r="J25">
        <v>1</v>
      </c>
      <c r="K25">
        <v>0.73739416711032302</v>
      </c>
      <c r="L25" t="s">
        <v>55</v>
      </c>
      <c r="M25">
        <v>5</v>
      </c>
      <c r="N25">
        <v>2</v>
      </c>
      <c r="O25">
        <v>22</v>
      </c>
      <c r="P25">
        <v>3</v>
      </c>
      <c r="Q25">
        <v>24.6524043340468</v>
      </c>
      <c r="U25">
        <v>24.646875959006099</v>
      </c>
      <c r="V25">
        <v>24.6524043340468</v>
      </c>
      <c r="W25">
        <v>25.1431605420075</v>
      </c>
      <c r="X25">
        <v>25.1431605420075</v>
      </c>
      <c r="Y25">
        <v>25.1431605420075</v>
      </c>
      <c r="Z25">
        <v>25.885529292048801</v>
      </c>
      <c r="AA25" t="s">
        <v>61</v>
      </c>
      <c r="AB25">
        <v>1</v>
      </c>
      <c r="AC25">
        <v>0.73739416711032302</v>
      </c>
      <c r="AD25" t="s">
        <v>55</v>
      </c>
      <c r="AI25">
        <v>2</v>
      </c>
      <c r="AJ25">
        <v>1</v>
      </c>
      <c r="AK25" t="s">
        <v>69</v>
      </c>
      <c r="AL25" t="s">
        <v>53</v>
      </c>
      <c r="AN25" t="s">
        <v>54</v>
      </c>
      <c r="AO25" t="s">
        <v>55</v>
      </c>
      <c r="AP25" t="s">
        <v>70</v>
      </c>
    </row>
    <row r="26" spans="1:42" x14ac:dyDescent="0.2">
      <c r="A26" t="s">
        <v>57</v>
      </c>
      <c r="B26" t="s">
        <v>58</v>
      </c>
      <c r="C26" t="s">
        <v>59</v>
      </c>
      <c r="D26" t="s">
        <v>60</v>
      </c>
      <c r="E26" t="s">
        <v>61</v>
      </c>
      <c r="F26">
        <v>23</v>
      </c>
      <c r="G26">
        <v>3</v>
      </c>
      <c r="H26">
        <v>5</v>
      </c>
      <c r="I26" t="s">
        <v>61</v>
      </c>
      <c r="J26">
        <v>1</v>
      </c>
      <c r="K26">
        <v>0.46368620905559499</v>
      </c>
      <c r="L26" t="s">
        <v>55</v>
      </c>
      <c r="M26">
        <v>5</v>
      </c>
      <c r="N26">
        <v>3</v>
      </c>
      <c r="O26">
        <v>23</v>
      </c>
      <c r="P26">
        <v>1</v>
      </c>
      <c r="Q26">
        <v>25.893205499975</v>
      </c>
      <c r="U26">
        <v>25.887718584039199</v>
      </c>
      <c r="V26">
        <v>25.893205499975</v>
      </c>
      <c r="W26">
        <v>26.3838244170183</v>
      </c>
      <c r="X26">
        <v>26.3838244170183</v>
      </c>
      <c r="Y26">
        <v>26.3838244170183</v>
      </c>
      <c r="Z26">
        <v>26.852052874979499</v>
      </c>
      <c r="AA26" t="s">
        <v>61</v>
      </c>
      <c r="AB26">
        <v>1</v>
      </c>
      <c r="AC26">
        <v>0.46368620905559499</v>
      </c>
      <c r="AD26" t="s">
        <v>55</v>
      </c>
      <c r="AI26">
        <v>2</v>
      </c>
      <c r="AJ26">
        <v>1</v>
      </c>
      <c r="AK26" t="s">
        <v>69</v>
      </c>
      <c r="AL26" t="s">
        <v>53</v>
      </c>
      <c r="AN26" t="s">
        <v>54</v>
      </c>
      <c r="AO26" t="s">
        <v>55</v>
      </c>
      <c r="AP26" t="s">
        <v>70</v>
      </c>
    </row>
    <row r="27" spans="1:42" x14ac:dyDescent="0.2">
      <c r="A27" t="s">
        <v>66</v>
      </c>
      <c r="B27" t="s">
        <v>58</v>
      </c>
      <c r="C27" t="s">
        <v>63</v>
      </c>
      <c r="D27" t="s">
        <v>64</v>
      </c>
      <c r="E27" t="s">
        <v>61</v>
      </c>
      <c r="F27">
        <v>24</v>
      </c>
      <c r="G27">
        <v>0</v>
      </c>
      <c r="H27">
        <v>6</v>
      </c>
      <c r="I27" t="s">
        <v>61</v>
      </c>
      <c r="J27">
        <v>1</v>
      </c>
      <c r="K27">
        <v>0.42515412496868499</v>
      </c>
      <c r="L27" t="s">
        <v>55</v>
      </c>
      <c r="M27">
        <v>6</v>
      </c>
      <c r="N27">
        <v>0</v>
      </c>
      <c r="O27">
        <v>24</v>
      </c>
      <c r="P27">
        <v>3</v>
      </c>
      <c r="Q27">
        <v>26.8598266670014</v>
      </c>
      <c r="U27">
        <v>26.8542927500093</v>
      </c>
      <c r="V27">
        <v>26.8598266670014</v>
      </c>
      <c r="W27">
        <v>27.350595500087302</v>
      </c>
      <c r="X27">
        <v>27.350595500087302</v>
      </c>
      <c r="Y27">
        <v>27.350595500087302</v>
      </c>
      <c r="Z27">
        <v>27.7798159170197</v>
      </c>
      <c r="AA27" t="s">
        <v>61</v>
      </c>
      <c r="AB27">
        <v>1</v>
      </c>
      <c r="AC27">
        <v>0.42515412496868499</v>
      </c>
      <c r="AD27" t="s">
        <v>55</v>
      </c>
      <c r="AI27">
        <v>2</v>
      </c>
      <c r="AJ27">
        <v>1</v>
      </c>
      <c r="AK27" t="s">
        <v>69</v>
      </c>
      <c r="AL27" t="s">
        <v>53</v>
      </c>
      <c r="AN27" t="s">
        <v>54</v>
      </c>
      <c r="AO27" t="s">
        <v>55</v>
      </c>
      <c r="AP27" t="s">
        <v>70</v>
      </c>
    </row>
    <row r="28" spans="1:42" x14ac:dyDescent="0.2">
      <c r="A28" t="s">
        <v>57</v>
      </c>
      <c r="B28" t="s">
        <v>62</v>
      </c>
      <c r="C28" t="s">
        <v>63</v>
      </c>
      <c r="D28" t="s">
        <v>64</v>
      </c>
      <c r="E28" t="s">
        <v>65</v>
      </c>
      <c r="F28">
        <v>25</v>
      </c>
      <c r="G28">
        <v>1</v>
      </c>
      <c r="H28">
        <v>6</v>
      </c>
      <c r="I28" t="s">
        <v>65</v>
      </c>
      <c r="J28">
        <v>1</v>
      </c>
      <c r="K28">
        <v>0.41233142</v>
      </c>
      <c r="L28" t="s">
        <v>55</v>
      </c>
      <c r="M28">
        <v>6</v>
      </c>
      <c r="N28">
        <v>1</v>
      </c>
      <c r="O28">
        <v>25</v>
      </c>
      <c r="P28">
        <v>0</v>
      </c>
      <c r="Q28">
        <v>27.787751125055301</v>
      </c>
      <c r="U28">
        <v>27.782100958982401</v>
      </c>
      <c r="V28">
        <v>27.787751125055301</v>
      </c>
      <c r="W28">
        <v>28.276347084087298</v>
      </c>
      <c r="X28">
        <v>28.276347084087298</v>
      </c>
      <c r="Y28">
        <v>28.276347084087298</v>
      </c>
      <c r="Z28">
        <v>28.6965421250788</v>
      </c>
      <c r="AA28" t="s">
        <v>65</v>
      </c>
      <c r="AB28">
        <v>1</v>
      </c>
      <c r="AC28">
        <v>0.41233142</v>
      </c>
      <c r="AD28" t="s">
        <v>55</v>
      </c>
      <c r="AI28">
        <v>2</v>
      </c>
      <c r="AJ28">
        <v>1</v>
      </c>
      <c r="AK28" t="s">
        <v>69</v>
      </c>
      <c r="AL28" t="s">
        <v>53</v>
      </c>
      <c r="AN28" t="s">
        <v>54</v>
      </c>
      <c r="AO28" t="s">
        <v>55</v>
      </c>
      <c r="AP28" t="s">
        <v>70</v>
      </c>
    </row>
    <row r="29" spans="1:42" x14ac:dyDescent="0.2">
      <c r="A29" t="s">
        <v>66</v>
      </c>
      <c r="B29" t="s">
        <v>62</v>
      </c>
      <c r="C29" t="s">
        <v>59</v>
      </c>
      <c r="D29" t="s">
        <v>60</v>
      </c>
      <c r="E29" t="s">
        <v>65</v>
      </c>
      <c r="F29">
        <v>26</v>
      </c>
      <c r="G29">
        <v>2</v>
      </c>
      <c r="H29">
        <v>6</v>
      </c>
      <c r="I29" t="s">
        <v>65</v>
      </c>
      <c r="J29">
        <v>1</v>
      </c>
      <c r="K29">
        <v>0.41763208294287302</v>
      </c>
      <c r="L29" t="s">
        <v>55</v>
      </c>
      <c r="M29">
        <v>6</v>
      </c>
      <c r="N29">
        <v>2</v>
      </c>
      <c r="O29">
        <v>26</v>
      </c>
      <c r="P29">
        <v>2</v>
      </c>
      <c r="Q29">
        <v>28.704787041991899</v>
      </c>
      <c r="U29">
        <v>28.699062375002502</v>
      </c>
      <c r="V29">
        <v>28.704787041991899</v>
      </c>
      <c r="W29">
        <v>29.192930791992602</v>
      </c>
      <c r="X29">
        <v>29.192930791992602</v>
      </c>
      <c r="Y29">
        <v>29.192930791992602</v>
      </c>
      <c r="Z29">
        <v>29.612935292068801</v>
      </c>
      <c r="AA29" t="s">
        <v>65</v>
      </c>
      <c r="AB29">
        <v>1</v>
      </c>
      <c r="AC29">
        <v>0.41763208294287302</v>
      </c>
      <c r="AD29" t="s">
        <v>55</v>
      </c>
      <c r="AI29">
        <v>2</v>
      </c>
      <c r="AJ29">
        <v>1</v>
      </c>
      <c r="AK29" t="s">
        <v>69</v>
      </c>
      <c r="AL29" t="s">
        <v>53</v>
      </c>
      <c r="AN29" t="s">
        <v>54</v>
      </c>
      <c r="AO29" t="s">
        <v>55</v>
      </c>
      <c r="AP29" t="s">
        <v>70</v>
      </c>
    </row>
    <row r="30" spans="1:42" x14ac:dyDescent="0.2">
      <c r="A30" t="s">
        <v>57</v>
      </c>
      <c r="B30" t="s">
        <v>58</v>
      </c>
      <c r="C30" t="s">
        <v>59</v>
      </c>
      <c r="D30" t="s">
        <v>60</v>
      </c>
      <c r="E30" t="s">
        <v>61</v>
      </c>
      <c r="F30">
        <v>27</v>
      </c>
      <c r="G30">
        <v>3</v>
      </c>
      <c r="H30">
        <v>6</v>
      </c>
      <c r="I30" t="s">
        <v>61</v>
      </c>
      <c r="J30">
        <v>1</v>
      </c>
      <c r="K30">
        <v>0.74328437494113997</v>
      </c>
      <c r="L30" t="s">
        <v>55</v>
      </c>
      <c r="M30">
        <v>6</v>
      </c>
      <c r="N30">
        <v>3</v>
      </c>
      <c r="O30">
        <v>27</v>
      </c>
      <c r="P30">
        <v>1</v>
      </c>
      <c r="Q30">
        <v>29.620794792077501</v>
      </c>
      <c r="U30">
        <v>29.615353167056998</v>
      </c>
      <c r="V30">
        <v>29.620794792077501</v>
      </c>
      <c r="W30">
        <v>30.109531667083498</v>
      </c>
      <c r="X30">
        <v>30.109531667083498</v>
      </c>
      <c r="Y30">
        <v>30.109531667083498</v>
      </c>
      <c r="Z30">
        <v>30.863160124979899</v>
      </c>
      <c r="AA30" t="s">
        <v>61</v>
      </c>
      <c r="AB30">
        <v>1</v>
      </c>
      <c r="AC30">
        <v>0.74328437494113997</v>
      </c>
      <c r="AD30" t="s">
        <v>55</v>
      </c>
      <c r="AI30">
        <v>2</v>
      </c>
      <c r="AJ30">
        <v>1</v>
      </c>
      <c r="AK30" t="s">
        <v>69</v>
      </c>
      <c r="AL30" t="s">
        <v>53</v>
      </c>
      <c r="AN30" t="s">
        <v>54</v>
      </c>
      <c r="AO30" t="s">
        <v>55</v>
      </c>
      <c r="AP30" t="s">
        <v>70</v>
      </c>
    </row>
    <row r="31" spans="1:42" x14ac:dyDescent="0.2">
      <c r="A31" t="s">
        <v>66</v>
      </c>
      <c r="B31" t="s">
        <v>62</v>
      </c>
      <c r="C31" t="s">
        <v>59</v>
      </c>
      <c r="D31" t="s">
        <v>60</v>
      </c>
      <c r="E31" t="s">
        <v>65</v>
      </c>
      <c r="F31">
        <v>28</v>
      </c>
      <c r="G31">
        <v>0</v>
      </c>
      <c r="H31">
        <v>7</v>
      </c>
      <c r="I31" t="s">
        <v>65</v>
      </c>
      <c r="J31">
        <v>1</v>
      </c>
      <c r="K31">
        <v>0.55463204195257199</v>
      </c>
      <c r="L31" t="s">
        <v>55</v>
      </c>
      <c r="M31">
        <v>7</v>
      </c>
      <c r="N31">
        <v>0</v>
      </c>
      <c r="O31">
        <v>28</v>
      </c>
      <c r="P31">
        <v>2</v>
      </c>
      <c r="Q31">
        <v>30.871394125046201</v>
      </c>
      <c r="U31">
        <v>30.8657646250212</v>
      </c>
      <c r="V31">
        <v>30.871394125046201</v>
      </c>
      <c r="W31">
        <v>31.3599682920612</v>
      </c>
      <c r="X31">
        <v>31.3599682920612</v>
      </c>
      <c r="Y31">
        <v>31.3599682920612</v>
      </c>
      <c r="Z31">
        <v>31.919478917028702</v>
      </c>
      <c r="AA31" t="s">
        <v>65</v>
      </c>
      <c r="AB31">
        <v>1</v>
      </c>
      <c r="AC31">
        <v>0.55463204195257199</v>
      </c>
      <c r="AD31" t="s">
        <v>55</v>
      </c>
      <c r="AI31">
        <v>2</v>
      </c>
      <c r="AJ31">
        <v>1</v>
      </c>
      <c r="AK31" t="s">
        <v>69</v>
      </c>
      <c r="AL31" t="s">
        <v>53</v>
      </c>
      <c r="AN31" t="s">
        <v>54</v>
      </c>
      <c r="AO31" t="s">
        <v>55</v>
      </c>
      <c r="AP31" t="s">
        <v>70</v>
      </c>
    </row>
    <row r="32" spans="1:42" x14ac:dyDescent="0.2">
      <c r="A32" t="s">
        <v>57</v>
      </c>
      <c r="B32" t="s">
        <v>62</v>
      </c>
      <c r="C32" t="s">
        <v>63</v>
      </c>
      <c r="D32" t="s">
        <v>64</v>
      </c>
      <c r="E32" t="s">
        <v>65</v>
      </c>
      <c r="F32">
        <v>29</v>
      </c>
      <c r="G32">
        <v>1</v>
      </c>
      <c r="H32">
        <v>7</v>
      </c>
      <c r="I32" t="s">
        <v>65</v>
      </c>
      <c r="J32">
        <v>1</v>
      </c>
      <c r="K32">
        <v>0.55524424999020905</v>
      </c>
      <c r="L32" t="s">
        <v>55</v>
      </c>
      <c r="M32">
        <v>7</v>
      </c>
      <c r="N32">
        <v>1</v>
      </c>
      <c r="O32">
        <v>29</v>
      </c>
      <c r="P32">
        <v>0</v>
      </c>
      <c r="Q32">
        <v>31.927382834022801</v>
      </c>
      <c r="U32">
        <v>31.921815125038801</v>
      </c>
      <c r="V32">
        <v>31.927382834022801</v>
      </c>
      <c r="W32">
        <v>32.417558999999997</v>
      </c>
      <c r="X32">
        <v>32.417558999999997</v>
      </c>
      <c r="Y32">
        <v>32.417558999999997</v>
      </c>
      <c r="Z32">
        <v>32.980011167004697</v>
      </c>
      <c r="AA32" t="s">
        <v>65</v>
      </c>
      <c r="AB32">
        <v>1</v>
      </c>
      <c r="AC32">
        <v>0.55524424999020905</v>
      </c>
      <c r="AD32" t="s">
        <v>55</v>
      </c>
      <c r="AI32">
        <v>2</v>
      </c>
      <c r="AJ32">
        <v>1</v>
      </c>
      <c r="AK32" t="s">
        <v>69</v>
      </c>
      <c r="AL32" t="s">
        <v>53</v>
      </c>
      <c r="AN32" t="s">
        <v>54</v>
      </c>
      <c r="AO32" t="s">
        <v>55</v>
      </c>
      <c r="AP32" t="s">
        <v>70</v>
      </c>
    </row>
    <row r="33" spans="1:43" x14ac:dyDescent="0.2">
      <c r="A33" t="s">
        <v>66</v>
      </c>
      <c r="B33" t="s">
        <v>58</v>
      </c>
      <c r="C33" t="s">
        <v>63</v>
      </c>
      <c r="D33" t="s">
        <v>64</v>
      </c>
      <c r="E33" t="s">
        <v>61</v>
      </c>
      <c r="F33">
        <v>30</v>
      </c>
      <c r="G33">
        <v>2</v>
      </c>
      <c r="H33">
        <v>7</v>
      </c>
      <c r="I33" t="s">
        <v>61</v>
      </c>
      <c r="J33">
        <v>1</v>
      </c>
      <c r="K33">
        <v>0.75636133295483798</v>
      </c>
      <c r="L33" t="s">
        <v>55</v>
      </c>
      <c r="M33">
        <v>7</v>
      </c>
      <c r="N33">
        <v>2</v>
      </c>
      <c r="O33">
        <v>30</v>
      </c>
      <c r="P33">
        <v>3</v>
      </c>
      <c r="Q33">
        <v>32.988247959059599</v>
      </c>
      <c r="U33">
        <v>32.982384709059197</v>
      </c>
      <c r="V33">
        <v>32.988247959059599</v>
      </c>
      <c r="W33">
        <v>33.4764051670208</v>
      </c>
      <c r="X33">
        <v>33.4764051670208</v>
      </c>
      <c r="Y33">
        <v>33.4764051670208</v>
      </c>
      <c r="Z33">
        <v>34.236889042076598</v>
      </c>
      <c r="AA33" t="s">
        <v>61</v>
      </c>
      <c r="AB33">
        <v>1</v>
      </c>
      <c r="AC33">
        <v>0.75636133295483798</v>
      </c>
      <c r="AD33" t="s">
        <v>55</v>
      </c>
      <c r="AI33">
        <v>2</v>
      </c>
      <c r="AJ33">
        <v>1</v>
      </c>
      <c r="AK33" t="s">
        <v>69</v>
      </c>
      <c r="AL33" t="s">
        <v>53</v>
      </c>
      <c r="AN33" t="s">
        <v>54</v>
      </c>
      <c r="AO33" t="s">
        <v>55</v>
      </c>
      <c r="AP33" t="s">
        <v>70</v>
      </c>
    </row>
    <row r="34" spans="1:43" x14ac:dyDescent="0.2">
      <c r="A34" t="s">
        <v>57</v>
      </c>
      <c r="B34" t="s">
        <v>58</v>
      </c>
      <c r="C34" t="s">
        <v>59</v>
      </c>
      <c r="D34" t="s">
        <v>60</v>
      </c>
      <c r="E34" t="s">
        <v>61</v>
      </c>
      <c r="F34">
        <v>31</v>
      </c>
      <c r="G34">
        <v>3</v>
      </c>
      <c r="H34">
        <v>7</v>
      </c>
      <c r="I34" t="s">
        <v>61</v>
      </c>
      <c r="J34">
        <v>1</v>
      </c>
      <c r="K34">
        <v>0.39452112501021402</v>
      </c>
      <c r="L34" t="s">
        <v>55</v>
      </c>
      <c r="M34">
        <v>7</v>
      </c>
      <c r="N34">
        <v>3</v>
      </c>
      <c r="O34">
        <v>31</v>
      </c>
      <c r="P34">
        <v>1</v>
      </c>
      <c r="Q34">
        <v>34.2454975000582</v>
      </c>
      <c r="U34">
        <v>34.239218125003298</v>
      </c>
      <c r="V34">
        <v>34.2454975000582</v>
      </c>
      <c r="W34">
        <v>34.7341621670639</v>
      </c>
      <c r="X34">
        <v>34.7341621670639</v>
      </c>
      <c r="Y34">
        <v>34.7341621670639</v>
      </c>
      <c r="Z34">
        <v>35.130065375007597</v>
      </c>
      <c r="AA34" t="s">
        <v>61</v>
      </c>
      <c r="AB34">
        <v>1</v>
      </c>
      <c r="AC34">
        <v>0.39452112501021402</v>
      </c>
      <c r="AD34" t="s">
        <v>55</v>
      </c>
      <c r="AI34">
        <v>2</v>
      </c>
      <c r="AJ34">
        <v>1</v>
      </c>
      <c r="AK34" t="s">
        <v>69</v>
      </c>
      <c r="AL34" t="s">
        <v>53</v>
      </c>
      <c r="AN34" t="s">
        <v>54</v>
      </c>
      <c r="AO34" t="s">
        <v>55</v>
      </c>
      <c r="AP34" t="s">
        <v>70</v>
      </c>
    </row>
    <row r="35" spans="1:43" x14ac:dyDescent="0.2">
      <c r="A35" t="s">
        <v>57</v>
      </c>
      <c r="B35" t="s">
        <v>58</v>
      </c>
      <c r="C35" t="s">
        <v>59</v>
      </c>
      <c r="D35" t="s">
        <v>60</v>
      </c>
      <c r="E35" t="s">
        <v>61</v>
      </c>
      <c r="F35">
        <v>32</v>
      </c>
      <c r="G35">
        <v>0</v>
      </c>
      <c r="H35">
        <v>8</v>
      </c>
      <c r="I35" t="s">
        <v>61</v>
      </c>
      <c r="J35">
        <v>1</v>
      </c>
      <c r="K35">
        <v>0.46194599999580499</v>
      </c>
      <c r="L35" t="s">
        <v>55</v>
      </c>
      <c r="M35">
        <v>8</v>
      </c>
      <c r="N35">
        <v>0</v>
      </c>
      <c r="O35">
        <v>32</v>
      </c>
      <c r="P35">
        <v>1</v>
      </c>
      <c r="Q35">
        <v>35.134425750002201</v>
      </c>
      <c r="U35">
        <v>35.130501416977403</v>
      </c>
      <c r="V35">
        <v>35.134425750002201</v>
      </c>
      <c r="W35">
        <v>35.626910292077802</v>
      </c>
      <c r="X35">
        <v>35.626910292077802</v>
      </c>
      <c r="Y35">
        <v>35.626910292077802</v>
      </c>
      <c r="Z35">
        <v>36.096630417043301</v>
      </c>
      <c r="AA35" t="s">
        <v>61</v>
      </c>
      <c r="AB35">
        <v>1</v>
      </c>
      <c r="AC35">
        <v>0.46194599999580499</v>
      </c>
      <c r="AD35" t="s">
        <v>55</v>
      </c>
      <c r="AI35">
        <v>2</v>
      </c>
      <c r="AJ35">
        <v>1</v>
      </c>
      <c r="AK35" t="s">
        <v>69</v>
      </c>
      <c r="AL35" t="s">
        <v>53</v>
      </c>
      <c r="AN35" t="s">
        <v>54</v>
      </c>
      <c r="AO35" t="s">
        <v>55</v>
      </c>
      <c r="AP35" t="s">
        <v>70</v>
      </c>
    </row>
    <row r="36" spans="1:43" x14ac:dyDescent="0.2">
      <c r="A36" t="s">
        <v>57</v>
      </c>
      <c r="B36" t="s">
        <v>62</v>
      </c>
      <c r="C36" t="s">
        <v>63</v>
      </c>
      <c r="D36" t="s">
        <v>64</v>
      </c>
      <c r="E36" t="s">
        <v>65</v>
      </c>
      <c r="F36">
        <v>33</v>
      </c>
      <c r="G36">
        <v>1</v>
      </c>
      <c r="H36">
        <v>8</v>
      </c>
      <c r="I36" t="s">
        <v>65</v>
      </c>
      <c r="J36">
        <v>1</v>
      </c>
      <c r="K36">
        <v>0.82823374995496102</v>
      </c>
      <c r="L36" t="s">
        <v>55</v>
      </c>
      <c r="M36">
        <v>8</v>
      </c>
      <c r="N36">
        <v>1</v>
      </c>
      <c r="O36">
        <v>33</v>
      </c>
      <c r="P36">
        <v>0</v>
      </c>
      <c r="Q36">
        <v>36.102491709054398</v>
      </c>
      <c r="U36">
        <v>36.097109541995401</v>
      </c>
      <c r="V36">
        <v>36.102491709054398</v>
      </c>
      <c r="W36">
        <v>36.5936074170749</v>
      </c>
      <c r="X36">
        <v>36.5936074170749</v>
      </c>
      <c r="Y36">
        <v>36.5936074170749</v>
      </c>
      <c r="Z36">
        <v>37.430399292032199</v>
      </c>
      <c r="AA36" t="s">
        <v>65</v>
      </c>
      <c r="AB36">
        <v>1</v>
      </c>
      <c r="AC36">
        <v>0.82823374995496102</v>
      </c>
      <c r="AD36" t="s">
        <v>55</v>
      </c>
      <c r="AI36">
        <v>2</v>
      </c>
      <c r="AJ36">
        <v>1</v>
      </c>
      <c r="AK36" t="s">
        <v>69</v>
      </c>
      <c r="AL36" t="s">
        <v>53</v>
      </c>
      <c r="AN36" t="s">
        <v>54</v>
      </c>
      <c r="AO36" t="s">
        <v>55</v>
      </c>
      <c r="AP36" t="s">
        <v>70</v>
      </c>
    </row>
    <row r="37" spans="1:43" x14ac:dyDescent="0.2">
      <c r="A37" t="s">
        <v>66</v>
      </c>
      <c r="B37" t="s">
        <v>62</v>
      </c>
      <c r="C37" t="s">
        <v>59</v>
      </c>
      <c r="D37" t="s">
        <v>60</v>
      </c>
      <c r="E37" t="s">
        <v>65</v>
      </c>
      <c r="F37">
        <v>34</v>
      </c>
      <c r="G37">
        <v>2</v>
      </c>
      <c r="H37">
        <v>8</v>
      </c>
      <c r="I37" t="s">
        <v>65</v>
      </c>
      <c r="J37">
        <v>1</v>
      </c>
      <c r="K37">
        <v>0.34020899992901799</v>
      </c>
      <c r="L37" t="s">
        <v>55</v>
      </c>
      <c r="M37">
        <v>8</v>
      </c>
      <c r="N37">
        <v>2</v>
      </c>
      <c r="O37">
        <v>34</v>
      </c>
      <c r="P37">
        <v>2</v>
      </c>
      <c r="Q37">
        <v>37.438201667042399</v>
      </c>
      <c r="U37">
        <v>37.432884209090801</v>
      </c>
      <c r="V37">
        <v>37.438201667042399</v>
      </c>
      <c r="W37">
        <v>37.926583792082901</v>
      </c>
      <c r="X37">
        <v>37.926583792082901</v>
      </c>
      <c r="Y37">
        <v>37.926583792082901</v>
      </c>
      <c r="Z37">
        <v>38.269420834025297</v>
      </c>
      <c r="AA37" t="s">
        <v>65</v>
      </c>
      <c r="AB37">
        <v>1</v>
      </c>
      <c r="AC37">
        <v>0.34020899992901799</v>
      </c>
      <c r="AD37" t="s">
        <v>55</v>
      </c>
      <c r="AI37">
        <v>2</v>
      </c>
      <c r="AJ37">
        <v>1</v>
      </c>
      <c r="AK37" t="s">
        <v>69</v>
      </c>
      <c r="AL37" t="s">
        <v>53</v>
      </c>
      <c r="AN37" t="s">
        <v>54</v>
      </c>
      <c r="AO37" t="s">
        <v>55</v>
      </c>
      <c r="AP37" t="s">
        <v>70</v>
      </c>
    </row>
    <row r="38" spans="1:43" x14ac:dyDescent="0.2">
      <c r="A38" t="s">
        <v>66</v>
      </c>
      <c r="B38" t="s">
        <v>58</v>
      </c>
      <c r="C38" t="s">
        <v>63</v>
      </c>
      <c r="D38" t="s">
        <v>64</v>
      </c>
      <c r="E38" t="s">
        <v>61</v>
      </c>
      <c r="F38">
        <v>35</v>
      </c>
      <c r="G38">
        <v>3</v>
      </c>
      <c r="H38">
        <v>8</v>
      </c>
      <c r="I38" t="s">
        <v>61</v>
      </c>
      <c r="J38">
        <v>1</v>
      </c>
      <c r="K38">
        <v>0.50038545999999995</v>
      </c>
      <c r="L38" t="s">
        <v>55</v>
      </c>
      <c r="M38">
        <v>8</v>
      </c>
      <c r="N38">
        <v>3</v>
      </c>
      <c r="O38">
        <v>35</v>
      </c>
      <c r="P38">
        <v>3</v>
      </c>
      <c r="Q38">
        <v>38.276150583987999</v>
      </c>
      <c r="U38">
        <v>38.269892874988699</v>
      </c>
      <c r="V38">
        <v>38.276150583987999</v>
      </c>
      <c r="W38">
        <v>38.767355834017501</v>
      </c>
      <c r="X38">
        <v>38.767355834017501</v>
      </c>
      <c r="Y38">
        <v>38.767355834017501</v>
      </c>
      <c r="Z38">
        <v>39.269454799999998</v>
      </c>
      <c r="AA38" t="s">
        <v>61</v>
      </c>
      <c r="AB38">
        <v>1</v>
      </c>
      <c r="AC38">
        <v>0.50038545999999995</v>
      </c>
      <c r="AD38" t="s">
        <v>55</v>
      </c>
      <c r="AI38">
        <v>2</v>
      </c>
      <c r="AJ38">
        <v>1</v>
      </c>
      <c r="AK38" t="s">
        <v>69</v>
      </c>
      <c r="AL38" t="s">
        <v>53</v>
      </c>
      <c r="AN38" t="s">
        <v>54</v>
      </c>
      <c r="AO38" t="s">
        <v>55</v>
      </c>
      <c r="AP38" t="s">
        <v>70</v>
      </c>
    </row>
    <row r="39" spans="1:43" x14ac:dyDescent="0.2">
      <c r="A39" t="s">
        <v>66</v>
      </c>
      <c r="B39" t="s">
        <v>62</v>
      </c>
      <c r="C39" t="s">
        <v>59</v>
      </c>
      <c r="D39" t="s">
        <v>60</v>
      </c>
      <c r="E39" t="s">
        <v>65</v>
      </c>
      <c r="F39">
        <v>36</v>
      </c>
      <c r="G39">
        <v>0</v>
      </c>
      <c r="H39">
        <v>9</v>
      </c>
      <c r="I39" t="s">
        <v>65</v>
      </c>
      <c r="J39">
        <v>1</v>
      </c>
      <c r="K39">
        <v>1.1106842500157601</v>
      </c>
      <c r="L39" t="s">
        <v>55</v>
      </c>
      <c r="M39">
        <v>9</v>
      </c>
      <c r="N39">
        <v>0</v>
      </c>
      <c r="O39">
        <v>36</v>
      </c>
      <c r="P39">
        <v>2</v>
      </c>
      <c r="Q39">
        <v>39.276146542047996</v>
      </c>
      <c r="U39">
        <v>39.269881209009299</v>
      </c>
      <c r="V39">
        <v>39.276146542047996</v>
      </c>
      <c r="W39">
        <v>39.767084699999998</v>
      </c>
      <c r="X39">
        <v>39.767084699999998</v>
      </c>
      <c r="Y39">
        <v>39.767084699999998</v>
      </c>
      <c r="Z39">
        <v>40.879995584022197</v>
      </c>
      <c r="AA39" t="s">
        <v>65</v>
      </c>
      <c r="AB39">
        <v>1</v>
      </c>
      <c r="AC39">
        <v>1.1106842500157601</v>
      </c>
      <c r="AD39" t="s">
        <v>55</v>
      </c>
      <c r="AI39">
        <v>2</v>
      </c>
      <c r="AJ39">
        <v>1</v>
      </c>
      <c r="AK39" t="s">
        <v>69</v>
      </c>
      <c r="AL39" t="s">
        <v>53</v>
      </c>
      <c r="AN39" t="s">
        <v>54</v>
      </c>
      <c r="AO39" t="s">
        <v>55</v>
      </c>
      <c r="AP39" t="s">
        <v>70</v>
      </c>
    </row>
    <row r="40" spans="1:43" x14ac:dyDescent="0.2">
      <c r="A40" t="s">
        <v>66</v>
      </c>
      <c r="B40" t="s">
        <v>58</v>
      </c>
      <c r="C40" t="s">
        <v>63</v>
      </c>
      <c r="D40" t="s">
        <v>64</v>
      </c>
      <c r="E40" t="s">
        <v>61</v>
      </c>
      <c r="F40">
        <v>37</v>
      </c>
      <c r="G40">
        <v>1</v>
      </c>
      <c r="H40">
        <v>9</v>
      </c>
      <c r="I40" t="s">
        <v>61</v>
      </c>
      <c r="J40">
        <v>1</v>
      </c>
      <c r="K40">
        <v>0.69189124999999996</v>
      </c>
      <c r="L40" t="s">
        <v>55</v>
      </c>
      <c r="M40">
        <v>9</v>
      </c>
      <c r="N40">
        <v>1</v>
      </c>
      <c r="O40">
        <v>37</v>
      </c>
      <c r="P40">
        <v>3</v>
      </c>
      <c r="Q40">
        <v>40.885590417077701</v>
      </c>
      <c r="U40">
        <v>40.880422875052297</v>
      </c>
      <c r="V40">
        <v>40.885590417077701</v>
      </c>
      <c r="W40">
        <v>41.376877959002698</v>
      </c>
      <c r="X40">
        <v>41.376877959002698</v>
      </c>
      <c r="Y40">
        <v>41.376877959002698</v>
      </c>
      <c r="Z40">
        <v>42.070105542079503</v>
      </c>
      <c r="AA40" t="s">
        <v>61</v>
      </c>
      <c r="AB40">
        <v>1</v>
      </c>
      <c r="AC40">
        <v>0.69189124999999996</v>
      </c>
      <c r="AD40" t="s">
        <v>55</v>
      </c>
      <c r="AI40">
        <v>2</v>
      </c>
      <c r="AJ40">
        <v>1</v>
      </c>
      <c r="AK40" t="s">
        <v>69</v>
      </c>
      <c r="AL40" t="s">
        <v>53</v>
      </c>
      <c r="AN40" t="s">
        <v>54</v>
      </c>
      <c r="AO40" t="s">
        <v>55</v>
      </c>
      <c r="AP40" t="s">
        <v>70</v>
      </c>
    </row>
    <row r="41" spans="1:43" x14ac:dyDescent="0.2">
      <c r="A41" t="s">
        <v>57</v>
      </c>
      <c r="B41" t="s">
        <v>58</v>
      </c>
      <c r="C41" t="s">
        <v>59</v>
      </c>
      <c r="D41" t="s">
        <v>60</v>
      </c>
      <c r="E41" t="s">
        <v>61</v>
      </c>
      <c r="F41">
        <v>38</v>
      </c>
      <c r="G41">
        <v>2</v>
      </c>
      <c r="H41">
        <v>9</v>
      </c>
      <c r="I41" t="s">
        <v>61</v>
      </c>
      <c r="J41">
        <v>1</v>
      </c>
      <c r="K41">
        <v>0.44783362501766499</v>
      </c>
      <c r="L41" t="s">
        <v>55</v>
      </c>
      <c r="M41">
        <v>9</v>
      </c>
      <c r="N41">
        <v>2</v>
      </c>
      <c r="O41">
        <v>38</v>
      </c>
      <c r="P41">
        <v>1</v>
      </c>
      <c r="Q41">
        <v>42.078050167066898</v>
      </c>
      <c r="U41">
        <v>42.0722734170267</v>
      </c>
      <c r="V41">
        <v>42.078050167066898</v>
      </c>
      <c r="W41">
        <v>42.567995000048498</v>
      </c>
      <c r="X41">
        <v>42.567995000048498</v>
      </c>
      <c r="Y41">
        <v>42.567995000048498</v>
      </c>
      <c r="Z41">
        <v>43.020025875070097</v>
      </c>
      <c r="AA41" t="s">
        <v>61</v>
      </c>
      <c r="AB41">
        <v>1</v>
      </c>
      <c r="AC41">
        <v>0.44783362501766499</v>
      </c>
      <c r="AD41" t="s">
        <v>55</v>
      </c>
      <c r="AI41">
        <v>2</v>
      </c>
      <c r="AJ41">
        <v>1</v>
      </c>
      <c r="AK41" t="s">
        <v>69</v>
      </c>
      <c r="AL41" t="s">
        <v>53</v>
      </c>
      <c r="AN41" t="s">
        <v>54</v>
      </c>
      <c r="AO41" t="s">
        <v>55</v>
      </c>
      <c r="AP41" t="s">
        <v>70</v>
      </c>
    </row>
    <row r="42" spans="1:43" x14ac:dyDescent="0.2">
      <c r="A42" t="s">
        <v>57</v>
      </c>
      <c r="B42" t="s">
        <v>62</v>
      </c>
      <c r="C42" t="s">
        <v>63</v>
      </c>
      <c r="D42" t="s">
        <v>64</v>
      </c>
      <c r="E42" t="s">
        <v>65</v>
      </c>
      <c r="F42">
        <v>39</v>
      </c>
      <c r="G42">
        <v>3</v>
      </c>
      <c r="H42">
        <v>9</v>
      </c>
      <c r="I42" t="s">
        <v>65</v>
      </c>
      <c r="J42">
        <v>1</v>
      </c>
      <c r="K42">
        <v>0.54225808300543499</v>
      </c>
      <c r="L42" t="s">
        <v>55</v>
      </c>
      <c r="M42">
        <v>9</v>
      </c>
      <c r="N42">
        <v>3</v>
      </c>
      <c r="O42">
        <v>39</v>
      </c>
      <c r="P42">
        <v>0</v>
      </c>
      <c r="Q42">
        <v>43.026579666999098</v>
      </c>
      <c r="U42">
        <v>43.020455125020803</v>
      </c>
      <c r="V42">
        <v>43.026579666999098</v>
      </c>
      <c r="W42">
        <v>43.517493250081301</v>
      </c>
      <c r="X42">
        <v>43.517493250081301</v>
      </c>
      <c r="Y42">
        <v>43.517493250081301</v>
      </c>
      <c r="Z42">
        <v>44.063226292026201</v>
      </c>
      <c r="AA42" t="s">
        <v>65</v>
      </c>
      <c r="AB42">
        <v>1</v>
      </c>
      <c r="AC42">
        <v>0.54225808300543499</v>
      </c>
      <c r="AD42" t="s">
        <v>55</v>
      </c>
      <c r="AI42">
        <v>2</v>
      </c>
      <c r="AJ42">
        <v>1</v>
      </c>
      <c r="AK42" t="s">
        <v>69</v>
      </c>
      <c r="AL42" t="s">
        <v>53</v>
      </c>
      <c r="AN42" t="s">
        <v>54</v>
      </c>
      <c r="AO42" t="s">
        <v>55</v>
      </c>
      <c r="AP42" t="s">
        <v>70</v>
      </c>
    </row>
    <row r="43" spans="1:43" x14ac:dyDescent="0.2">
      <c r="AF43">
        <v>44.063352999975898</v>
      </c>
      <c r="AG43">
        <v>44.069445417029698</v>
      </c>
      <c r="AH43">
        <v>45.066162292030597</v>
      </c>
      <c r="AI43">
        <v>45.062863000086502</v>
      </c>
      <c r="AJ43">
        <v>2</v>
      </c>
      <c r="AK43">
        <v>1</v>
      </c>
      <c r="AL43" t="s">
        <v>69</v>
      </c>
      <c r="AM43" t="s">
        <v>53</v>
      </c>
      <c r="AO43" t="s">
        <v>54</v>
      </c>
      <c r="AP43" t="s">
        <v>55</v>
      </c>
      <c r="AQ43" t="s">
        <v>70</v>
      </c>
    </row>
    <row r="45" spans="1:43" x14ac:dyDescent="0.2">
      <c r="B45" t="s">
        <v>67</v>
      </c>
      <c r="C45">
        <v>0.53486937999999995</v>
      </c>
    </row>
    <row r="46" spans="1:43" x14ac:dyDescent="0.2">
      <c r="B46" t="s">
        <v>68</v>
      </c>
      <c r="C46">
        <v>0.65036848999999997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92BA-AFD5-A440-984C-B91E65B632B7}">
  <dimension ref="A1:AR46"/>
  <sheetViews>
    <sheetView workbookViewId="0">
      <selection activeCell="G33" sqref="G33"/>
    </sheetView>
  </sheetViews>
  <sheetFormatPr baseColWidth="10" defaultRowHeight="16" x14ac:dyDescent="0.2"/>
  <sheetData>
    <row r="1" spans="1:44" x14ac:dyDescent="0.2">
      <c r="A1" t="s">
        <v>8</v>
      </c>
      <c r="B1" t="s">
        <v>9</v>
      </c>
      <c r="C1" t="s">
        <v>71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</row>
    <row r="2" spans="1:44" x14ac:dyDescent="0.2">
      <c r="S2">
        <v>7.1977500000000002E-3</v>
      </c>
      <c r="T2">
        <v>1.1501875007525E-2</v>
      </c>
      <c r="U2">
        <v>1.0173658330459101</v>
      </c>
      <c r="V2">
        <v>0.99702679202891797</v>
      </c>
      <c r="AJ2">
        <v>3</v>
      </c>
      <c r="AK2">
        <v>1</v>
      </c>
      <c r="AL2" t="s">
        <v>72</v>
      </c>
      <c r="AM2" t="s">
        <v>53</v>
      </c>
      <c r="AO2" t="s">
        <v>54</v>
      </c>
      <c r="AP2" t="s">
        <v>55</v>
      </c>
      <c r="AQ2" t="s">
        <v>73</v>
      </c>
    </row>
    <row r="3" spans="1:44" x14ac:dyDescent="0.2">
      <c r="A3" t="s">
        <v>66</v>
      </c>
      <c r="B3" t="s">
        <v>58</v>
      </c>
      <c r="C3" t="s">
        <v>63</v>
      </c>
      <c r="D3" t="s">
        <v>64</v>
      </c>
      <c r="E3" t="s">
        <v>61</v>
      </c>
      <c r="F3">
        <v>0</v>
      </c>
      <c r="G3">
        <v>0</v>
      </c>
      <c r="H3">
        <v>0</v>
      </c>
      <c r="I3" t="s">
        <v>61</v>
      </c>
      <c r="J3">
        <v>1</v>
      </c>
      <c r="K3">
        <v>1.0593450409360201</v>
      </c>
      <c r="L3" t="s">
        <v>55</v>
      </c>
      <c r="M3">
        <v>0</v>
      </c>
      <c r="N3">
        <v>0</v>
      </c>
      <c r="O3">
        <v>0</v>
      </c>
      <c r="P3">
        <v>3</v>
      </c>
      <c r="Q3">
        <v>1.0173658330459101</v>
      </c>
      <c r="V3">
        <v>1.01385054</v>
      </c>
      <c r="W3">
        <v>1.0173658330459101</v>
      </c>
      <c r="X3">
        <v>1.4945837920531599</v>
      </c>
      <c r="Y3">
        <v>1.4945837920531599</v>
      </c>
      <c r="Z3">
        <v>1.4945837920531599</v>
      </c>
      <c r="AA3">
        <v>2.7105700420215699</v>
      </c>
      <c r="AB3" t="s">
        <v>61</v>
      </c>
      <c r="AC3">
        <v>1</v>
      </c>
      <c r="AD3">
        <v>1.0593450409360201</v>
      </c>
      <c r="AE3" t="s">
        <v>55</v>
      </c>
      <c r="AJ3">
        <v>3</v>
      </c>
      <c r="AK3">
        <v>1</v>
      </c>
      <c r="AL3" t="s">
        <v>72</v>
      </c>
      <c r="AM3" t="s">
        <v>53</v>
      </c>
      <c r="AO3" t="s">
        <v>54</v>
      </c>
      <c r="AP3" t="s">
        <v>55</v>
      </c>
      <c r="AQ3" t="s">
        <v>73</v>
      </c>
    </row>
    <row r="4" spans="1:44" x14ac:dyDescent="0.2">
      <c r="A4" t="s">
        <v>66</v>
      </c>
      <c r="B4" t="s">
        <v>62</v>
      </c>
      <c r="C4" t="s">
        <v>59</v>
      </c>
      <c r="D4" t="s">
        <v>60</v>
      </c>
      <c r="E4" t="s">
        <v>65</v>
      </c>
      <c r="F4">
        <v>1</v>
      </c>
      <c r="G4">
        <v>1</v>
      </c>
      <c r="H4">
        <v>0</v>
      </c>
      <c r="I4" t="s">
        <v>65</v>
      </c>
      <c r="J4">
        <v>1</v>
      </c>
      <c r="K4">
        <v>0.98243699991144195</v>
      </c>
      <c r="L4" t="s">
        <v>55</v>
      </c>
      <c r="M4">
        <v>0</v>
      </c>
      <c r="N4">
        <v>1</v>
      </c>
      <c r="O4">
        <v>1</v>
      </c>
      <c r="P4">
        <v>2</v>
      </c>
      <c r="Q4">
        <v>2.7169777919771101</v>
      </c>
      <c r="V4">
        <v>2.71087333303876</v>
      </c>
      <c r="W4">
        <v>2.7169777919771101</v>
      </c>
      <c r="X4">
        <v>3.20149358303751</v>
      </c>
      <c r="Y4">
        <v>3.20149358303751</v>
      </c>
      <c r="Z4">
        <v>3.20149358303751</v>
      </c>
      <c r="AA4">
        <v>4.1878026250051299</v>
      </c>
      <c r="AB4" t="s">
        <v>65</v>
      </c>
      <c r="AC4">
        <v>1</v>
      </c>
      <c r="AD4">
        <v>0.98243699991144195</v>
      </c>
      <c r="AE4" t="s">
        <v>55</v>
      </c>
      <c r="AJ4">
        <v>3</v>
      </c>
      <c r="AK4">
        <v>1</v>
      </c>
      <c r="AL4" t="s">
        <v>72</v>
      </c>
      <c r="AM4" t="s">
        <v>53</v>
      </c>
      <c r="AO4" t="s">
        <v>54</v>
      </c>
      <c r="AP4" t="s">
        <v>55</v>
      </c>
      <c r="AQ4" t="s">
        <v>73</v>
      </c>
    </row>
    <row r="5" spans="1:44" x14ac:dyDescent="0.2">
      <c r="A5" t="s">
        <v>57</v>
      </c>
      <c r="B5" t="s">
        <v>62</v>
      </c>
      <c r="C5" t="s">
        <v>63</v>
      </c>
      <c r="D5" t="s">
        <v>64</v>
      </c>
      <c r="E5" t="s">
        <v>65</v>
      </c>
      <c r="F5">
        <v>2</v>
      </c>
      <c r="G5">
        <v>2</v>
      </c>
      <c r="H5">
        <v>0</v>
      </c>
      <c r="I5" t="s">
        <v>65</v>
      </c>
      <c r="J5">
        <v>1</v>
      </c>
      <c r="K5">
        <v>1.42391554196365</v>
      </c>
      <c r="L5" t="s">
        <v>55</v>
      </c>
      <c r="M5">
        <v>0</v>
      </c>
      <c r="N5">
        <v>2</v>
      </c>
      <c r="O5">
        <v>2</v>
      </c>
      <c r="P5">
        <v>0</v>
      </c>
      <c r="Q5">
        <v>4.1973425829783002</v>
      </c>
      <c r="V5">
        <v>4.1924280419480002</v>
      </c>
      <c r="W5">
        <v>4.1973425829783002</v>
      </c>
      <c r="X5">
        <v>4.6861992500489498</v>
      </c>
      <c r="Y5">
        <v>4.6861992500489498</v>
      </c>
      <c r="Z5">
        <v>4.6861992500489498</v>
      </c>
      <c r="AA5">
        <v>6.1147032920271096</v>
      </c>
      <c r="AB5" t="s">
        <v>65</v>
      </c>
      <c r="AC5">
        <v>1</v>
      </c>
      <c r="AD5">
        <v>1.42391554196365</v>
      </c>
      <c r="AE5" t="s">
        <v>55</v>
      </c>
      <c r="AJ5">
        <v>3</v>
      </c>
      <c r="AK5">
        <v>1</v>
      </c>
      <c r="AL5" t="s">
        <v>72</v>
      </c>
      <c r="AM5" t="s">
        <v>53</v>
      </c>
      <c r="AO5" t="s">
        <v>54</v>
      </c>
      <c r="AP5" t="s">
        <v>55</v>
      </c>
      <c r="AQ5" t="s">
        <v>73</v>
      </c>
    </row>
    <row r="6" spans="1:44" x14ac:dyDescent="0.2">
      <c r="A6" t="s">
        <v>57</v>
      </c>
      <c r="B6" t="s">
        <v>58</v>
      </c>
      <c r="C6" t="s">
        <v>59</v>
      </c>
      <c r="D6" t="s">
        <v>60</v>
      </c>
      <c r="E6" t="s">
        <v>61</v>
      </c>
      <c r="F6">
        <v>3</v>
      </c>
      <c r="G6">
        <v>3</v>
      </c>
      <c r="H6">
        <v>0</v>
      </c>
      <c r="I6" t="s">
        <v>61</v>
      </c>
      <c r="J6">
        <v>1</v>
      </c>
      <c r="K6">
        <v>0.77762679000000001</v>
      </c>
      <c r="L6" t="s">
        <v>55</v>
      </c>
      <c r="M6">
        <v>0</v>
      </c>
      <c r="N6">
        <v>3</v>
      </c>
      <c r="O6">
        <v>3</v>
      </c>
      <c r="P6">
        <v>1</v>
      </c>
      <c r="Q6">
        <v>6.1282124579884103</v>
      </c>
      <c r="V6">
        <v>6.1151395830092898</v>
      </c>
      <c r="W6">
        <v>6.1282124579884103</v>
      </c>
      <c r="X6">
        <v>6.6113513750024104</v>
      </c>
      <c r="Y6">
        <v>6.6113513750024104</v>
      </c>
      <c r="Z6">
        <v>6.6113513750024104</v>
      </c>
      <c r="AA6">
        <v>7.3980118329636699</v>
      </c>
      <c r="AB6" t="s">
        <v>61</v>
      </c>
      <c r="AC6">
        <v>1</v>
      </c>
      <c r="AD6">
        <v>0.77762679000000001</v>
      </c>
      <c r="AE6" t="s">
        <v>55</v>
      </c>
      <c r="AJ6">
        <v>3</v>
      </c>
      <c r="AK6">
        <v>1</v>
      </c>
      <c r="AL6" t="s">
        <v>72</v>
      </c>
      <c r="AM6" t="s">
        <v>53</v>
      </c>
      <c r="AO6" t="s">
        <v>54</v>
      </c>
      <c r="AP6" t="s">
        <v>55</v>
      </c>
      <c r="AQ6" t="s">
        <v>73</v>
      </c>
    </row>
    <row r="7" spans="1:44" x14ac:dyDescent="0.2">
      <c r="A7" t="s">
        <v>57</v>
      </c>
      <c r="B7" t="s">
        <v>58</v>
      </c>
      <c r="C7" t="s">
        <v>59</v>
      </c>
      <c r="D7" t="s">
        <v>60</v>
      </c>
      <c r="E7" t="s">
        <v>61</v>
      </c>
      <c r="F7">
        <v>4</v>
      </c>
      <c r="G7">
        <v>0</v>
      </c>
      <c r="H7">
        <v>1</v>
      </c>
      <c r="I7" t="s">
        <v>61</v>
      </c>
      <c r="J7">
        <v>1</v>
      </c>
      <c r="K7">
        <v>0.919207541970536</v>
      </c>
      <c r="L7" t="s">
        <v>55</v>
      </c>
      <c r="M7">
        <v>1</v>
      </c>
      <c r="N7">
        <v>0</v>
      </c>
      <c r="O7">
        <v>4</v>
      </c>
      <c r="P7">
        <v>1</v>
      </c>
      <c r="Q7">
        <v>7.4039688749471599</v>
      </c>
      <c r="V7">
        <v>7.3984682499431003</v>
      </c>
      <c r="W7">
        <v>7.4039688749471599</v>
      </c>
      <c r="X7">
        <v>7.8948163329623604</v>
      </c>
      <c r="Y7">
        <v>7.8948163329623604</v>
      </c>
      <c r="Z7">
        <v>7.8948163329623604</v>
      </c>
      <c r="AA7">
        <v>8.8206527499714795</v>
      </c>
      <c r="AB7" t="s">
        <v>61</v>
      </c>
      <c r="AC7">
        <v>1</v>
      </c>
      <c r="AD7">
        <v>0.919207541970536</v>
      </c>
      <c r="AE7" t="s">
        <v>55</v>
      </c>
      <c r="AJ7">
        <v>3</v>
      </c>
      <c r="AK7">
        <v>1</v>
      </c>
      <c r="AL7" t="s">
        <v>72</v>
      </c>
      <c r="AM7" t="s">
        <v>53</v>
      </c>
      <c r="AO7" t="s">
        <v>54</v>
      </c>
      <c r="AP7" t="s">
        <v>55</v>
      </c>
      <c r="AQ7" t="s">
        <v>73</v>
      </c>
    </row>
    <row r="8" spans="1:44" x14ac:dyDescent="0.2">
      <c r="A8" t="s">
        <v>57</v>
      </c>
      <c r="B8" t="s">
        <v>62</v>
      </c>
      <c r="C8" t="s">
        <v>63</v>
      </c>
      <c r="D8" t="s">
        <v>64</v>
      </c>
      <c r="E8" t="s">
        <v>65</v>
      </c>
      <c r="F8">
        <v>5</v>
      </c>
      <c r="G8">
        <v>1</v>
      </c>
      <c r="H8">
        <v>1</v>
      </c>
      <c r="I8" t="s">
        <v>65</v>
      </c>
      <c r="J8">
        <v>1</v>
      </c>
      <c r="K8">
        <v>0.82204833393916399</v>
      </c>
      <c r="L8" t="s">
        <v>55</v>
      </c>
      <c r="M8">
        <v>1</v>
      </c>
      <c r="N8">
        <v>1</v>
      </c>
      <c r="O8">
        <v>5</v>
      </c>
      <c r="P8">
        <v>0</v>
      </c>
      <c r="Q8">
        <v>8.8274634600000006</v>
      </c>
      <c r="W8">
        <v>8.8211030419915897</v>
      </c>
      <c r="X8">
        <v>8.8274634600000006</v>
      </c>
      <c r="Y8">
        <v>9.3188351249555108</v>
      </c>
      <c r="Z8">
        <v>9.3188351249555108</v>
      </c>
      <c r="AA8">
        <v>9.3188351249555108</v>
      </c>
      <c r="AB8">
        <v>10.148435082984999</v>
      </c>
      <c r="AC8" t="s">
        <v>65</v>
      </c>
      <c r="AD8">
        <v>1</v>
      </c>
      <c r="AE8">
        <v>0.82204833393916399</v>
      </c>
      <c r="AF8" t="s">
        <v>55</v>
      </c>
      <c r="AK8">
        <v>3</v>
      </c>
      <c r="AL8">
        <v>1</v>
      </c>
      <c r="AM8" t="s">
        <v>72</v>
      </c>
      <c r="AN8" t="s">
        <v>53</v>
      </c>
      <c r="AP8" t="s">
        <v>54</v>
      </c>
      <c r="AQ8" t="s">
        <v>55</v>
      </c>
      <c r="AR8" t="s">
        <v>73</v>
      </c>
    </row>
    <row r="9" spans="1:44" x14ac:dyDescent="0.2">
      <c r="A9" t="s">
        <v>66</v>
      </c>
      <c r="B9" t="s">
        <v>62</v>
      </c>
      <c r="C9" t="s">
        <v>59</v>
      </c>
      <c r="D9" t="s">
        <v>60</v>
      </c>
      <c r="E9" t="s">
        <v>65</v>
      </c>
      <c r="F9">
        <v>6</v>
      </c>
      <c r="G9">
        <v>2</v>
      </c>
      <c r="H9">
        <v>1</v>
      </c>
      <c r="I9" t="s">
        <v>65</v>
      </c>
      <c r="J9">
        <v>1</v>
      </c>
      <c r="K9">
        <v>0.86541712493635703</v>
      </c>
      <c r="L9" t="s">
        <v>55</v>
      </c>
      <c r="M9">
        <v>1</v>
      </c>
      <c r="N9">
        <v>2</v>
      </c>
      <c r="O9">
        <v>6</v>
      </c>
      <c r="P9">
        <v>2</v>
      </c>
      <c r="Q9">
        <v>10.1563159580109</v>
      </c>
      <c r="V9">
        <v>10.150775916990799</v>
      </c>
      <c r="W9">
        <v>10.1563159580109</v>
      </c>
      <c r="X9">
        <v>10.6445246250368</v>
      </c>
      <c r="Y9">
        <v>10.6445246250368</v>
      </c>
      <c r="Z9">
        <v>10.6445246250368</v>
      </c>
      <c r="AA9">
        <v>11.514538042014401</v>
      </c>
      <c r="AB9" t="s">
        <v>65</v>
      </c>
      <c r="AC9">
        <v>1</v>
      </c>
      <c r="AD9">
        <v>0.86541712493635703</v>
      </c>
      <c r="AE9" t="s">
        <v>55</v>
      </c>
      <c r="AJ9">
        <v>3</v>
      </c>
      <c r="AK9">
        <v>1</v>
      </c>
      <c r="AL9" t="s">
        <v>72</v>
      </c>
      <c r="AM9" t="s">
        <v>53</v>
      </c>
      <c r="AO9" t="s">
        <v>54</v>
      </c>
      <c r="AP9" t="s">
        <v>55</v>
      </c>
      <c r="AQ9" t="s">
        <v>73</v>
      </c>
    </row>
    <row r="10" spans="1:44" x14ac:dyDescent="0.2">
      <c r="A10" t="s">
        <v>66</v>
      </c>
      <c r="B10" t="s">
        <v>58</v>
      </c>
      <c r="C10" t="s">
        <v>63</v>
      </c>
      <c r="D10" t="s">
        <v>64</v>
      </c>
      <c r="E10" t="s">
        <v>61</v>
      </c>
      <c r="F10">
        <v>7</v>
      </c>
      <c r="G10">
        <v>3</v>
      </c>
      <c r="H10">
        <v>1</v>
      </c>
      <c r="I10" t="s">
        <v>61</v>
      </c>
      <c r="J10">
        <v>1</v>
      </c>
      <c r="K10">
        <v>0.669249416911043</v>
      </c>
      <c r="L10" t="s">
        <v>55</v>
      </c>
      <c r="M10">
        <v>1</v>
      </c>
      <c r="N10">
        <v>3</v>
      </c>
      <c r="O10">
        <v>7</v>
      </c>
      <c r="P10">
        <v>3</v>
      </c>
      <c r="Q10">
        <v>11.5202209580456</v>
      </c>
      <c r="V10">
        <v>11.5149875830393</v>
      </c>
      <c r="W10">
        <v>11.5202209580456</v>
      </c>
      <c r="X10">
        <v>12.0115596250398</v>
      </c>
      <c r="Y10">
        <v>12.0115596250398</v>
      </c>
      <c r="Z10">
        <v>12.0115596250398</v>
      </c>
      <c r="AA10">
        <v>12.6871599579462</v>
      </c>
      <c r="AB10" t="s">
        <v>61</v>
      </c>
      <c r="AC10">
        <v>1</v>
      </c>
      <c r="AD10">
        <v>0.669249416911043</v>
      </c>
      <c r="AE10" t="s">
        <v>55</v>
      </c>
      <c r="AJ10">
        <v>3</v>
      </c>
      <c r="AK10">
        <v>1</v>
      </c>
      <c r="AL10" t="s">
        <v>72</v>
      </c>
      <c r="AM10" t="s">
        <v>53</v>
      </c>
      <c r="AO10" t="s">
        <v>54</v>
      </c>
      <c r="AP10" t="s">
        <v>55</v>
      </c>
      <c r="AQ10" t="s">
        <v>73</v>
      </c>
    </row>
    <row r="11" spans="1:44" x14ac:dyDescent="0.2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>
        <v>8</v>
      </c>
      <c r="G11">
        <v>0</v>
      </c>
      <c r="H11">
        <v>2</v>
      </c>
      <c r="I11" t="s">
        <v>61</v>
      </c>
      <c r="J11">
        <v>1</v>
      </c>
      <c r="K11">
        <v>0.84967233391944297</v>
      </c>
      <c r="L11" t="s">
        <v>55</v>
      </c>
      <c r="M11">
        <v>2</v>
      </c>
      <c r="N11">
        <v>0</v>
      </c>
      <c r="O11">
        <v>8</v>
      </c>
      <c r="P11">
        <v>1</v>
      </c>
      <c r="Q11">
        <v>12.6952217499492</v>
      </c>
      <c r="V11">
        <v>12.689521374995801</v>
      </c>
      <c r="W11">
        <v>12.6952217499492</v>
      </c>
      <c r="X11">
        <v>13.186180707998499</v>
      </c>
      <c r="Y11">
        <v>13.186180707998499</v>
      </c>
      <c r="Z11">
        <v>13.186180707998499</v>
      </c>
      <c r="AA11">
        <v>14.0376177500002</v>
      </c>
      <c r="AB11" t="s">
        <v>61</v>
      </c>
      <c r="AC11">
        <v>1</v>
      </c>
      <c r="AD11">
        <v>0.84967233391944297</v>
      </c>
      <c r="AE11" t="s">
        <v>55</v>
      </c>
      <c r="AJ11">
        <v>3</v>
      </c>
      <c r="AK11">
        <v>1</v>
      </c>
      <c r="AL11" t="s">
        <v>72</v>
      </c>
      <c r="AM11" t="s">
        <v>53</v>
      </c>
      <c r="AO11" t="s">
        <v>54</v>
      </c>
      <c r="AP11" t="s">
        <v>55</v>
      </c>
      <c r="AQ11" t="s">
        <v>73</v>
      </c>
    </row>
    <row r="12" spans="1:44" x14ac:dyDescent="0.2">
      <c r="A12" t="s">
        <v>66</v>
      </c>
      <c r="B12" t="s">
        <v>62</v>
      </c>
      <c r="C12" t="s">
        <v>59</v>
      </c>
      <c r="D12" t="s">
        <v>60</v>
      </c>
      <c r="E12" t="s">
        <v>65</v>
      </c>
      <c r="F12">
        <v>9</v>
      </c>
      <c r="G12">
        <v>1</v>
      </c>
      <c r="H12">
        <v>2</v>
      </c>
      <c r="I12" t="s">
        <v>65</v>
      </c>
      <c r="J12">
        <v>1</v>
      </c>
      <c r="K12">
        <v>1.4850520830368601</v>
      </c>
      <c r="L12" t="s">
        <v>55</v>
      </c>
      <c r="M12">
        <v>2</v>
      </c>
      <c r="N12">
        <v>1</v>
      </c>
      <c r="O12">
        <v>9</v>
      </c>
      <c r="P12">
        <v>2</v>
      </c>
      <c r="Q12">
        <v>14.045808083028501</v>
      </c>
      <c r="V12">
        <v>14.0398435830138</v>
      </c>
      <c r="W12">
        <v>14.045808083028501</v>
      </c>
      <c r="X12">
        <v>14.5360121249686</v>
      </c>
      <c r="Y12">
        <v>14.5360121249686</v>
      </c>
      <c r="Z12">
        <v>14.5360121249686</v>
      </c>
      <c r="AA12">
        <v>16.031620500027199</v>
      </c>
      <c r="AB12" t="s">
        <v>65</v>
      </c>
      <c r="AC12">
        <v>1</v>
      </c>
      <c r="AD12">
        <v>1.4850520830368601</v>
      </c>
      <c r="AE12" t="s">
        <v>55</v>
      </c>
      <c r="AJ12">
        <v>3</v>
      </c>
      <c r="AK12">
        <v>1</v>
      </c>
      <c r="AL12" t="s">
        <v>72</v>
      </c>
      <c r="AM12" t="s">
        <v>53</v>
      </c>
      <c r="AO12" t="s">
        <v>54</v>
      </c>
      <c r="AP12" t="s">
        <v>55</v>
      </c>
      <c r="AQ12" t="s">
        <v>73</v>
      </c>
    </row>
    <row r="13" spans="1:44" x14ac:dyDescent="0.2">
      <c r="A13" t="s">
        <v>57</v>
      </c>
      <c r="B13" t="s">
        <v>62</v>
      </c>
      <c r="C13" t="s">
        <v>63</v>
      </c>
      <c r="D13" t="s">
        <v>64</v>
      </c>
      <c r="E13" t="s">
        <v>65</v>
      </c>
      <c r="F13">
        <v>10</v>
      </c>
      <c r="G13">
        <v>2</v>
      </c>
      <c r="H13">
        <v>2</v>
      </c>
      <c r="I13" t="s">
        <v>65</v>
      </c>
      <c r="J13">
        <v>1</v>
      </c>
      <c r="K13">
        <v>0.74126183299813397</v>
      </c>
      <c r="L13" t="s">
        <v>55</v>
      </c>
      <c r="M13">
        <v>2</v>
      </c>
      <c r="N13">
        <v>2</v>
      </c>
      <c r="O13">
        <v>10</v>
      </c>
      <c r="P13">
        <v>0</v>
      </c>
      <c r="Q13">
        <v>16.039579457952598</v>
      </c>
      <c r="V13">
        <v>16.0338889580452</v>
      </c>
      <c r="W13">
        <v>16.039579457952598</v>
      </c>
      <c r="X13">
        <v>16.527676917030401</v>
      </c>
      <c r="Y13">
        <v>16.527676917030401</v>
      </c>
      <c r="Z13">
        <v>16.527676917030401</v>
      </c>
      <c r="AA13">
        <v>17.270893250009902</v>
      </c>
      <c r="AB13" t="s">
        <v>65</v>
      </c>
      <c r="AC13">
        <v>1</v>
      </c>
      <c r="AD13">
        <v>0.74126183299813397</v>
      </c>
      <c r="AE13" t="s">
        <v>55</v>
      </c>
      <c r="AJ13">
        <v>3</v>
      </c>
      <c r="AK13">
        <v>1</v>
      </c>
      <c r="AL13" t="s">
        <v>72</v>
      </c>
      <c r="AM13" t="s">
        <v>53</v>
      </c>
      <c r="AO13" t="s">
        <v>54</v>
      </c>
      <c r="AP13" t="s">
        <v>55</v>
      </c>
      <c r="AQ13" t="s">
        <v>73</v>
      </c>
    </row>
    <row r="14" spans="1:44" x14ac:dyDescent="0.2">
      <c r="A14" t="s">
        <v>66</v>
      </c>
      <c r="B14" t="s">
        <v>58</v>
      </c>
      <c r="C14" t="s">
        <v>63</v>
      </c>
      <c r="D14" t="s">
        <v>64</v>
      </c>
      <c r="E14" t="s">
        <v>61</v>
      </c>
      <c r="F14">
        <v>11</v>
      </c>
      <c r="G14">
        <v>3</v>
      </c>
      <c r="H14">
        <v>2</v>
      </c>
      <c r="I14" t="s">
        <v>61</v>
      </c>
      <c r="J14">
        <v>1</v>
      </c>
      <c r="K14">
        <v>0.67950358300004099</v>
      </c>
      <c r="L14" t="s">
        <v>55</v>
      </c>
      <c r="M14">
        <v>2</v>
      </c>
      <c r="N14">
        <v>3</v>
      </c>
      <c r="O14">
        <v>11</v>
      </c>
      <c r="P14">
        <v>3</v>
      </c>
      <c r="Q14">
        <v>17.2791084999917</v>
      </c>
      <c r="V14">
        <v>17.273118791985301</v>
      </c>
      <c r="W14">
        <v>17.2791084999917</v>
      </c>
      <c r="X14">
        <v>17.7695752079598</v>
      </c>
      <c r="Y14">
        <v>17.7695752079598</v>
      </c>
      <c r="Z14">
        <v>17.7695752079598</v>
      </c>
      <c r="AA14">
        <v>18.4542783329961</v>
      </c>
      <c r="AB14" t="s">
        <v>61</v>
      </c>
      <c r="AC14">
        <v>1</v>
      </c>
      <c r="AD14">
        <v>0.67950358300004099</v>
      </c>
      <c r="AE14" t="s">
        <v>55</v>
      </c>
      <c r="AJ14">
        <v>3</v>
      </c>
      <c r="AK14">
        <v>1</v>
      </c>
      <c r="AL14" t="s">
        <v>72</v>
      </c>
      <c r="AM14" t="s">
        <v>53</v>
      </c>
      <c r="AO14" t="s">
        <v>54</v>
      </c>
      <c r="AP14" t="s">
        <v>55</v>
      </c>
      <c r="AQ14" t="s">
        <v>73</v>
      </c>
    </row>
    <row r="15" spans="1:44" x14ac:dyDescent="0.2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>
        <v>12</v>
      </c>
      <c r="G15">
        <v>0</v>
      </c>
      <c r="H15">
        <v>3</v>
      </c>
      <c r="I15" t="s">
        <v>61</v>
      </c>
      <c r="J15">
        <v>1</v>
      </c>
      <c r="K15">
        <v>0.79348004190251198</v>
      </c>
      <c r="L15" t="s">
        <v>55</v>
      </c>
      <c r="M15">
        <v>3</v>
      </c>
      <c r="N15">
        <v>0</v>
      </c>
      <c r="O15">
        <v>12</v>
      </c>
      <c r="P15">
        <v>1</v>
      </c>
      <c r="Q15">
        <v>18.462489041965402</v>
      </c>
      <c r="V15">
        <v>18.456561916973399</v>
      </c>
      <c r="W15">
        <v>18.462489041965402</v>
      </c>
      <c r="X15">
        <v>18.9524809579597</v>
      </c>
      <c r="Y15">
        <v>18.9524809579597</v>
      </c>
      <c r="Z15">
        <v>18.9524809579597</v>
      </c>
      <c r="AA15">
        <v>19.748719699999999</v>
      </c>
      <c r="AB15" t="s">
        <v>61</v>
      </c>
      <c r="AC15">
        <v>1</v>
      </c>
      <c r="AD15">
        <v>0.79348004190251198</v>
      </c>
      <c r="AE15" t="s">
        <v>55</v>
      </c>
      <c r="AJ15">
        <v>3</v>
      </c>
      <c r="AK15">
        <v>1</v>
      </c>
      <c r="AL15" t="s">
        <v>72</v>
      </c>
      <c r="AM15" t="s">
        <v>53</v>
      </c>
      <c r="AO15" t="s">
        <v>54</v>
      </c>
      <c r="AP15" t="s">
        <v>55</v>
      </c>
      <c r="AQ15" t="s">
        <v>73</v>
      </c>
    </row>
    <row r="16" spans="1:44" x14ac:dyDescent="0.2">
      <c r="A16" t="s">
        <v>66</v>
      </c>
      <c r="B16" t="s">
        <v>62</v>
      </c>
      <c r="C16" t="s">
        <v>59</v>
      </c>
      <c r="D16" t="s">
        <v>60</v>
      </c>
      <c r="E16" t="s">
        <v>65</v>
      </c>
      <c r="F16">
        <v>13</v>
      </c>
      <c r="G16">
        <v>1</v>
      </c>
      <c r="H16">
        <v>3</v>
      </c>
      <c r="I16" t="s">
        <v>65</v>
      </c>
      <c r="J16">
        <v>1</v>
      </c>
      <c r="K16">
        <v>0.71292587497737203</v>
      </c>
      <c r="L16" t="s">
        <v>55</v>
      </c>
      <c r="M16">
        <v>3</v>
      </c>
      <c r="N16">
        <v>1</v>
      </c>
      <c r="O16">
        <v>13</v>
      </c>
      <c r="P16">
        <v>2</v>
      </c>
      <c r="Q16">
        <v>19.756916875019598</v>
      </c>
      <c r="V16">
        <v>19.751092999940699</v>
      </c>
      <c r="W16">
        <v>19.756916875019598</v>
      </c>
      <c r="X16">
        <v>20.245193124981501</v>
      </c>
      <c r="Y16">
        <v>20.245193124981501</v>
      </c>
      <c r="Z16">
        <v>20.245193124981501</v>
      </c>
      <c r="AA16">
        <v>20.9650654579745</v>
      </c>
      <c r="AB16" t="s">
        <v>65</v>
      </c>
      <c r="AC16">
        <v>1</v>
      </c>
      <c r="AD16">
        <v>0.71292587497737203</v>
      </c>
      <c r="AE16" t="s">
        <v>55</v>
      </c>
      <c r="AJ16">
        <v>3</v>
      </c>
      <c r="AK16">
        <v>1</v>
      </c>
      <c r="AL16" t="s">
        <v>72</v>
      </c>
      <c r="AM16" t="s">
        <v>53</v>
      </c>
      <c r="AO16" t="s">
        <v>54</v>
      </c>
      <c r="AP16" t="s">
        <v>55</v>
      </c>
      <c r="AQ16" t="s">
        <v>73</v>
      </c>
    </row>
    <row r="17" spans="1:44" x14ac:dyDescent="0.2">
      <c r="A17" t="s">
        <v>57</v>
      </c>
      <c r="B17" t="s">
        <v>62</v>
      </c>
      <c r="C17" t="s">
        <v>63</v>
      </c>
      <c r="D17" t="s">
        <v>64</v>
      </c>
      <c r="E17" t="s">
        <v>65</v>
      </c>
      <c r="F17">
        <v>14</v>
      </c>
      <c r="G17">
        <v>2</v>
      </c>
      <c r="H17">
        <v>3</v>
      </c>
      <c r="I17" t="s">
        <v>65</v>
      </c>
      <c r="J17">
        <v>1</v>
      </c>
      <c r="K17">
        <v>0.80584458296652794</v>
      </c>
      <c r="L17" t="s">
        <v>55</v>
      </c>
      <c r="M17">
        <v>3</v>
      </c>
      <c r="N17">
        <v>2</v>
      </c>
      <c r="O17">
        <v>14</v>
      </c>
      <c r="P17">
        <v>0</v>
      </c>
      <c r="Q17">
        <v>20.973223999957501</v>
      </c>
      <c r="V17">
        <v>20.9673983330139</v>
      </c>
      <c r="W17">
        <v>20.973223999957501</v>
      </c>
      <c r="X17">
        <v>21.461219292017599</v>
      </c>
      <c r="Y17">
        <v>21.461219292017599</v>
      </c>
      <c r="Z17">
        <v>21.461219292017599</v>
      </c>
      <c r="AA17">
        <v>22.271159832947799</v>
      </c>
      <c r="AB17" t="s">
        <v>65</v>
      </c>
      <c r="AC17">
        <v>1</v>
      </c>
      <c r="AD17">
        <v>0.80584458296652794</v>
      </c>
      <c r="AE17" t="s">
        <v>55</v>
      </c>
      <c r="AJ17">
        <v>3</v>
      </c>
      <c r="AK17">
        <v>1</v>
      </c>
      <c r="AL17" t="s">
        <v>72</v>
      </c>
      <c r="AM17" t="s">
        <v>53</v>
      </c>
      <c r="AO17" t="s">
        <v>54</v>
      </c>
      <c r="AP17" t="s">
        <v>55</v>
      </c>
      <c r="AQ17" t="s">
        <v>73</v>
      </c>
    </row>
    <row r="18" spans="1:44" x14ac:dyDescent="0.2">
      <c r="A18" t="s">
        <v>66</v>
      </c>
      <c r="B18" t="s">
        <v>58</v>
      </c>
      <c r="C18" t="s">
        <v>63</v>
      </c>
      <c r="D18" t="s">
        <v>64</v>
      </c>
      <c r="E18" t="s">
        <v>61</v>
      </c>
      <c r="F18">
        <v>15</v>
      </c>
      <c r="G18">
        <v>3</v>
      </c>
      <c r="H18">
        <v>3</v>
      </c>
      <c r="I18" t="s">
        <v>61</v>
      </c>
      <c r="J18">
        <v>1</v>
      </c>
      <c r="K18">
        <v>0.68287688000000002</v>
      </c>
      <c r="L18" t="s">
        <v>55</v>
      </c>
      <c r="M18">
        <v>3</v>
      </c>
      <c r="N18">
        <v>3</v>
      </c>
      <c r="O18">
        <v>15</v>
      </c>
      <c r="P18">
        <v>3</v>
      </c>
      <c r="Q18">
        <v>22.2793677919544</v>
      </c>
      <c r="V18">
        <v>22.273407542030299</v>
      </c>
      <c r="W18">
        <v>22.2793677919544</v>
      </c>
      <c r="X18">
        <v>22.769215916981899</v>
      </c>
      <c r="Y18">
        <v>22.769215916981899</v>
      </c>
      <c r="Z18">
        <v>22.769215916981899</v>
      </c>
      <c r="AA18">
        <v>23.454383707954499</v>
      </c>
      <c r="AB18" t="s">
        <v>61</v>
      </c>
      <c r="AC18">
        <v>1</v>
      </c>
      <c r="AD18">
        <v>0.68287688000000002</v>
      </c>
      <c r="AE18" t="s">
        <v>55</v>
      </c>
      <c r="AJ18">
        <v>3</v>
      </c>
      <c r="AK18">
        <v>1</v>
      </c>
      <c r="AL18" t="s">
        <v>72</v>
      </c>
      <c r="AM18" t="s">
        <v>53</v>
      </c>
      <c r="AO18" t="s">
        <v>54</v>
      </c>
      <c r="AP18" t="s">
        <v>55</v>
      </c>
      <c r="AQ18" t="s">
        <v>73</v>
      </c>
    </row>
    <row r="19" spans="1:44" x14ac:dyDescent="0.2">
      <c r="A19" t="s">
        <v>66</v>
      </c>
      <c r="B19" t="s">
        <v>62</v>
      </c>
      <c r="C19" t="s">
        <v>59</v>
      </c>
      <c r="D19" t="s">
        <v>60</v>
      </c>
      <c r="E19" t="s">
        <v>65</v>
      </c>
      <c r="F19">
        <v>16</v>
      </c>
      <c r="G19">
        <v>0</v>
      </c>
      <c r="H19">
        <v>4</v>
      </c>
      <c r="I19" t="s">
        <v>65</v>
      </c>
      <c r="J19">
        <v>1</v>
      </c>
      <c r="K19">
        <v>0.802398875006474</v>
      </c>
      <c r="L19" t="s">
        <v>55</v>
      </c>
      <c r="M19">
        <v>4</v>
      </c>
      <c r="N19">
        <v>0</v>
      </c>
      <c r="O19">
        <v>16</v>
      </c>
      <c r="P19">
        <v>2</v>
      </c>
      <c r="Q19">
        <v>23.461298750014901</v>
      </c>
      <c r="V19">
        <v>23.454830750008099</v>
      </c>
      <c r="W19">
        <v>23.461298750014901</v>
      </c>
      <c r="X19">
        <v>23.952766375034098</v>
      </c>
      <c r="Y19">
        <v>23.952766375034098</v>
      </c>
      <c r="Z19">
        <v>23.952766375034098</v>
      </c>
      <c r="AA19">
        <v>24.765230249962698</v>
      </c>
      <c r="AB19" t="s">
        <v>65</v>
      </c>
      <c r="AC19">
        <v>1</v>
      </c>
      <c r="AD19">
        <v>0.802398875006474</v>
      </c>
      <c r="AE19" t="s">
        <v>55</v>
      </c>
      <c r="AJ19">
        <v>3</v>
      </c>
      <c r="AK19">
        <v>1</v>
      </c>
      <c r="AL19" t="s">
        <v>72</v>
      </c>
      <c r="AM19" t="s">
        <v>53</v>
      </c>
      <c r="AO19" t="s">
        <v>54</v>
      </c>
      <c r="AP19" t="s">
        <v>55</v>
      </c>
      <c r="AQ19" t="s">
        <v>73</v>
      </c>
    </row>
    <row r="20" spans="1:44" x14ac:dyDescent="0.2">
      <c r="A20" t="s">
        <v>57</v>
      </c>
      <c r="B20" t="s">
        <v>58</v>
      </c>
      <c r="C20" t="s">
        <v>59</v>
      </c>
      <c r="D20" t="s">
        <v>60</v>
      </c>
      <c r="E20" t="s">
        <v>61</v>
      </c>
      <c r="F20">
        <v>17</v>
      </c>
      <c r="G20">
        <v>1</v>
      </c>
      <c r="H20">
        <v>4</v>
      </c>
      <c r="I20" t="s">
        <v>61</v>
      </c>
      <c r="J20">
        <v>1</v>
      </c>
      <c r="K20">
        <v>1.04507575009483</v>
      </c>
      <c r="L20" t="s">
        <v>55</v>
      </c>
      <c r="M20">
        <v>4</v>
      </c>
      <c r="N20">
        <v>1</v>
      </c>
      <c r="O20">
        <v>17</v>
      </c>
      <c r="P20">
        <v>1</v>
      </c>
      <c r="Q20">
        <v>24.773252582992399</v>
      </c>
      <c r="V20">
        <v>24.7675028749508</v>
      </c>
      <c r="W20">
        <v>24.773252582992399</v>
      </c>
      <c r="X20">
        <v>25.2620887079974</v>
      </c>
      <c r="Y20">
        <v>25.2620887079974</v>
      </c>
      <c r="Z20">
        <v>25.2620887079974</v>
      </c>
      <c r="AA20">
        <v>26.315318249980901</v>
      </c>
      <c r="AB20" t="s">
        <v>61</v>
      </c>
      <c r="AC20">
        <v>1</v>
      </c>
      <c r="AD20">
        <v>1.04507575009483</v>
      </c>
      <c r="AE20" t="s">
        <v>55</v>
      </c>
      <c r="AJ20">
        <v>3</v>
      </c>
      <c r="AK20">
        <v>1</v>
      </c>
      <c r="AL20" t="s">
        <v>72</v>
      </c>
      <c r="AM20" t="s">
        <v>53</v>
      </c>
      <c r="AO20" t="s">
        <v>54</v>
      </c>
      <c r="AP20" t="s">
        <v>55</v>
      </c>
      <c r="AQ20" t="s">
        <v>73</v>
      </c>
    </row>
    <row r="21" spans="1:44" x14ac:dyDescent="0.2">
      <c r="A21" t="s">
        <v>57</v>
      </c>
      <c r="B21" t="s">
        <v>62</v>
      </c>
      <c r="C21" t="s">
        <v>63</v>
      </c>
      <c r="D21" t="s">
        <v>64</v>
      </c>
      <c r="E21" t="s">
        <v>65</v>
      </c>
      <c r="F21">
        <v>18</v>
      </c>
      <c r="G21">
        <v>2</v>
      </c>
      <c r="H21">
        <v>4</v>
      </c>
      <c r="I21" t="s">
        <v>65</v>
      </c>
      <c r="J21">
        <v>1</v>
      </c>
      <c r="K21">
        <v>0.73479770799167399</v>
      </c>
      <c r="L21" t="s">
        <v>55</v>
      </c>
      <c r="M21">
        <v>4</v>
      </c>
      <c r="N21">
        <v>2</v>
      </c>
      <c r="O21">
        <v>18</v>
      </c>
      <c r="P21">
        <v>0</v>
      </c>
      <c r="Q21">
        <v>26.321399749955098</v>
      </c>
      <c r="V21">
        <v>26.315746666979901</v>
      </c>
      <c r="W21">
        <v>26.321399749955098</v>
      </c>
      <c r="X21">
        <v>26.812237625010301</v>
      </c>
      <c r="Y21">
        <v>26.812237625010301</v>
      </c>
      <c r="Z21">
        <v>26.812237625010301</v>
      </c>
      <c r="AA21">
        <v>27.549105582991601</v>
      </c>
      <c r="AB21" t="s">
        <v>65</v>
      </c>
      <c r="AC21">
        <v>1</v>
      </c>
      <c r="AD21">
        <v>0.73479770799167399</v>
      </c>
      <c r="AE21" t="s">
        <v>55</v>
      </c>
      <c r="AJ21">
        <v>3</v>
      </c>
      <c r="AK21">
        <v>1</v>
      </c>
      <c r="AL21" t="s">
        <v>72</v>
      </c>
      <c r="AM21" t="s">
        <v>53</v>
      </c>
      <c r="AO21" t="s">
        <v>54</v>
      </c>
      <c r="AP21" t="s">
        <v>55</v>
      </c>
      <c r="AQ21" t="s">
        <v>73</v>
      </c>
    </row>
    <row r="22" spans="1:44" x14ac:dyDescent="0.2">
      <c r="A22" t="s">
        <v>66</v>
      </c>
      <c r="B22" t="s">
        <v>58</v>
      </c>
      <c r="C22" t="s">
        <v>63</v>
      </c>
      <c r="D22" t="s">
        <v>64</v>
      </c>
      <c r="E22" t="s">
        <v>61</v>
      </c>
      <c r="F22">
        <v>19</v>
      </c>
      <c r="G22">
        <v>3</v>
      </c>
      <c r="H22">
        <v>4</v>
      </c>
      <c r="I22" t="s">
        <v>61</v>
      </c>
      <c r="J22">
        <v>1</v>
      </c>
      <c r="K22">
        <v>0.63949404098093499</v>
      </c>
      <c r="L22" t="s">
        <v>55</v>
      </c>
      <c r="M22">
        <v>4</v>
      </c>
      <c r="N22">
        <v>3</v>
      </c>
      <c r="O22">
        <v>19</v>
      </c>
      <c r="P22">
        <v>3</v>
      </c>
      <c r="Q22">
        <v>27.557002166984599</v>
      </c>
      <c r="V22">
        <v>27.5513767920201</v>
      </c>
      <c r="W22">
        <v>27.557002166984599</v>
      </c>
      <c r="X22">
        <v>28.044722166960099</v>
      </c>
      <c r="Y22">
        <v>28.044722166960099</v>
      </c>
      <c r="Z22">
        <v>28.044722166960099</v>
      </c>
      <c r="AA22">
        <v>28.688001750036999</v>
      </c>
      <c r="AB22" t="s">
        <v>61</v>
      </c>
      <c r="AC22">
        <v>1</v>
      </c>
      <c r="AD22">
        <v>0.63949404098093499</v>
      </c>
      <c r="AE22" t="s">
        <v>55</v>
      </c>
      <c r="AJ22">
        <v>3</v>
      </c>
      <c r="AK22">
        <v>1</v>
      </c>
      <c r="AL22" t="s">
        <v>72</v>
      </c>
      <c r="AM22" t="s">
        <v>53</v>
      </c>
      <c r="AO22" t="s">
        <v>54</v>
      </c>
      <c r="AP22" t="s">
        <v>55</v>
      </c>
      <c r="AQ22" t="s">
        <v>73</v>
      </c>
    </row>
    <row r="23" spans="1:44" x14ac:dyDescent="0.2">
      <c r="A23" t="s">
        <v>57</v>
      </c>
      <c r="B23" t="s">
        <v>62</v>
      </c>
      <c r="C23" t="s">
        <v>63</v>
      </c>
      <c r="D23" t="s">
        <v>64</v>
      </c>
      <c r="E23" t="s">
        <v>65</v>
      </c>
      <c r="F23">
        <v>20</v>
      </c>
      <c r="G23">
        <v>0</v>
      </c>
      <c r="H23">
        <v>5</v>
      </c>
      <c r="I23" t="s">
        <v>65</v>
      </c>
      <c r="J23">
        <v>1</v>
      </c>
      <c r="K23">
        <v>0.709218958043493</v>
      </c>
      <c r="L23" t="s">
        <v>55</v>
      </c>
      <c r="M23">
        <v>5</v>
      </c>
      <c r="N23">
        <v>0</v>
      </c>
      <c r="O23">
        <v>20</v>
      </c>
      <c r="P23">
        <v>0</v>
      </c>
      <c r="Q23">
        <v>28.696258457959601</v>
      </c>
      <c r="V23">
        <v>28.690518699999998</v>
      </c>
      <c r="W23">
        <v>28.696258457959601</v>
      </c>
      <c r="X23">
        <v>29.1870042079826</v>
      </c>
      <c r="Y23">
        <v>29.1870042079826</v>
      </c>
      <c r="Z23">
        <v>29.1870042079826</v>
      </c>
      <c r="AA23">
        <v>29.899000667035502</v>
      </c>
      <c r="AB23" t="s">
        <v>65</v>
      </c>
      <c r="AC23">
        <v>1</v>
      </c>
      <c r="AD23">
        <v>0.709218958043493</v>
      </c>
      <c r="AE23" t="s">
        <v>55</v>
      </c>
      <c r="AJ23">
        <v>3</v>
      </c>
      <c r="AK23">
        <v>1</v>
      </c>
      <c r="AL23" t="s">
        <v>72</v>
      </c>
      <c r="AM23" t="s">
        <v>53</v>
      </c>
      <c r="AO23" t="s">
        <v>54</v>
      </c>
      <c r="AP23" t="s">
        <v>55</v>
      </c>
      <c r="AQ23" t="s">
        <v>73</v>
      </c>
    </row>
    <row r="24" spans="1:44" x14ac:dyDescent="0.2">
      <c r="A24" t="s">
        <v>66</v>
      </c>
      <c r="B24" t="s">
        <v>58</v>
      </c>
      <c r="C24" t="s">
        <v>63</v>
      </c>
      <c r="D24" t="s">
        <v>64</v>
      </c>
      <c r="E24" t="s">
        <v>61</v>
      </c>
      <c r="F24">
        <v>21</v>
      </c>
      <c r="G24">
        <v>1</v>
      </c>
      <c r="H24">
        <v>5</v>
      </c>
      <c r="I24" t="s">
        <v>61</v>
      </c>
      <c r="J24">
        <v>1</v>
      </c>
      <c r="K24">
        <v>0.70257162500638504</v>
      </c>
      <c r="L24" t="s">
        <v>55</v>
      </c>
      <c r="M24">
        <v>5</v>
      </c>
      <c r="N24">
        <v>1</v>
      </c>
      <c r="O24">
        <v>21</v>
      </c>
      <c r="P24">
        <v>3</v>
      </c>
      <c r="Q24">
        <v>29.9072202499955</v>
      </c>
      <c r="V24">
        <v>29.901592000038299</v>
      </c>
      <c r="W24">
        <v>29.9072202499955</v>
      </c>
      <c r="X24">
        <v>30.395707166986501</v>
      </c>
      <c r="Y24">
        <v>30.395707166986501</v>
      </c>
      <c r="Z24">
        <v>30.395707166986501</v>
      </c>
      <c r="AA24">
        <v>31.104850042029199</v>
      </c>
      <c r="AB24" t="s">
        <v>61</v>
      </c>
      <c r="AC24">
        <v>1</v>
      </c>
      <c r="AD24">
        <v>0.70257162500638504</v>
      </c>
      <c r="AE24" t="s">
        <v>55</v>
      </c>
      <c r="AJ24">
        <v>3</v>
      </c>
      <c r="AK24">
        <v>1</v>
      </c>
      <c r="AL24" t="s">
        <v>72</v>
      </c>
      <c r="AM24" t="s">
        <v>53</v>
      </c>
      <c r="AO24" t="s">
        <v>54</v>
      </c>
      <c r="AP24" t="s">
        <v>55</v>
      </c>
      <c r="AQ24" t="s">
        <v>73</v>
      </c>
    </row>
    <row r="25" spans="1:44" x14ac:dyDescent="0.2">
      <c r="A25" t="s">
        <v>66</v>
      </c>
      <c r="B25" t="s">
        <v>62</v>
      </c>
      <c r="C25" t="s">
        <v>59</v>
      </c>
      <c r="D25" t="s">
        <v>60</v>
      </c>
      <c r="E25" t="s">
        <v>65</v>
      </c>
      <c r="F25">
        <v>22</v>
      </c>
      <c r="G25">
        <v>2</v>
      </c>
      <c r="H25">
        <v>5</v>
      </c>
      <c r="I25" t="s">
        <v>65</v>
      </c>
      <c r="J25">
        <v>1</v>
      </c>
      <c r="K25">
        <v>0.771723875077441</v>
      </c>
      <c r="L25" t="s">
        <v>55</v>
      </c>
      <c r="M25">
        <v>5</v>
      </c>
      <c r="N25">
        <v>2</v>
      </c>
      <c r="O25">
        <v>22</v>
      </c>
      <c r="P25">
        <v>2</v>
      </c>
      <c r="Q25">
        <v>31.111562249949198</v>
      </c>
      <c r="V25">
        <v>31.105295666959101</v>
      </c>
      <c r="W25">
        <v>31.111562249949198</v>
      </c>
      <c r="X25">
        <v>31.603464292013001</v>
      </c>
      <c r="Y25">
        <v>31.603464292013001</v>
      </c>
      <c r="Z25">
        <v>31.603464292013001</v>
      </c>
      <c r="AA25">
        <v>32.382517333026001</v>
      </c>
      <c r="AB25" t="s">
        <v>65</v>
      </c>
      <c r="AC25">
        <v>1</v>
      </c>
      <c r="AD25">
        <v>0.771723875077441</v>
      </c>
      <c r="AE25" t="s">
        <v>55</v>
      </c>
      <c r="AJ25">
        <v>3</v>
      </c>
      <c r="AK25">
        <v>1</v>
      </c>
      <c r="AL25" t="s">
        <v>72</v>
      </c>
      <c r="AM25" t="s">
        <v>53</v>
      </c>
      <c r="AO25" t="s">
        <v>54</v>
      </c>
      <c r="AP25" t="s">
        <v>55</v>
      </c>
      <c r="AQ25" t="s">
        <v>73</v>
      </c>
    </row>
    <row r="26" spans="1:44" x14ac:dyDescent="0.2">
      <c r="A26" t="s">
        <v>57</v>
      </c>
      <c r="B26" t="s">
        <v>58</v>
      </c>
      <c r="C26" t="s">
        <v>59</v>
      </c>
      <c r="D26" t="s">
        <v>60</v>
      </c>
      <c r="E26" t="s">
        <v>61</v>
      </c>
      <c r="F26">
        <v>23</v>
      </c>
      <c r="G26">
        <v>3</v>
      </c>
      <c r="H26">
        <v>5</v>
      </c>
      <c r="I26" t="s">
        <v>61</v>
      </c>
      <c r="J26">
        <v>1</v>
      </c>
      <c r="K26">
        <v>0.95702591689769101</v>
      </c>
      <c r="L26" t="s">
        <v>55</v>
      </c>
      <c r="M26">
        <v>5</v>
      </c>
      <c r="N26">
        <v>3</v>
      </c>
      <c r="O26">
        <v>23</v>
      </c>
      <c r="P26">
        <v>1</v>
      </c>
      <c r="Q26">
        <v>32.390636374941003</v>
      </c>
      <c r="V26">
        <v>32.385056957951697</v>
      </c>
      <c r="W26">
        <v>32.390636374941003</v>
      </c>
      <c r="X26">
        <v>32.879226917051703</v>
      </c>
      <c r="Y26">
        <v>32.879226917051703</v>
      </c>
      <c r="Z26">
        <v>32.879226917051703</v>
      </c>
      <c r="AA26">
        <v>33.838346582953797</v>
      </c>
      <c r="AB26" t="s">
        <v>61</v>
      </c>
      <c r="AC26">
        <v>1</v>
      </c>
      <c r="AD26">
        <v>0.95702591689769101</v>
      </c>
      <c r="AE26" t="s">
        <v>55</v>
      </c>
      <c r="AJ26">
        <v>3</v>
      </c>
      <c r="AK26">
        <v>1</v>
      </c>
      <c r="AL26" t="s">
        <v>72</v>
      </c>
      <c r="AM26" t="s">
        <v>53</v>
      </c>
      <c r="AO26" t="s">
        <v>54</v>
      </c>
      <c r="AP26" t="s">
        <v>55</v>
      </c>
      <c r="AQ26" t="s">
        <v>73</v>
      </c>
    </row>
    <row r="27" spans="1:44" x14ac:dyDescent="0.2">
      <c r="A27" t="s">
        <v>57</v>
      </c>
      <c r="B27" t="s">
        <v>58</v>
      </c>
      <c r="C27" t="s">
        <v>59</v>
      </c>
      <c r="D27" t="s">
        <v>60</v>
      </c>
      <c r="E27" t="s">
        <v>61</v>
      </c>
      <c r="F27">
        <v>24</v>
      </c>
      <c r="G27">
        <v>0</v>
      </c>
      <c r="H27">
        <v>6</v>
      </c>
      <c r="I27" t="s">
        <v>61</v>
      </c>
      <c r="J27">
        <v>1</v>
      </c>
      <c r="K27">
        <v>0.87572412495501295</v>
      </c>
      <c r="L27" t="s">
        <v>55</v>
      </c>
      <c r="M27">
        <v>6</v>
      </c>
      <c r="N27">
        <v>0</v>
      </c>
      <c r="O27">
        <v>24</v>
      </c>
      <c r="P27">
        <v>1</v>
      </c>
      <c r="Q27">
        <v>33.844982399999999</v>
      </c>
      <c r="W27">
        <v>33.838767457986201</v>
      </c>
      <c r="X27">
        <v>33.844982399999999</v>
      </c>
      <c r="Y27">
        <v>34.335752167040397</v>
      </c>
      <c r="Z27">
        <v>34.335752167040397</v>
      </c>
      <c r="AA27">
        <v>34.335752167040397</v>
      </c>
      <c r="AB27">
        <v>35.215431916993097</v>
      </c>
      <c r="AC27" t="s">
        <v>61</v>
      </c>
      <c r="AD27">
        <v>1</v>
      </c>
      <c r="AE27">
        <v>0.87572412495501295</v>
      </c>
      <c r="AF27" t="s">
        <v>55</v>
      </c>
      <c r="AK27">
        <v>3</v>
      </c>
      <c r="AL27">
        <v>1</v>
      </c>
      <c r="AM27" t="s">
        <v>72</v>
      </c>
      <c r="AN27" t="s">
        <v>53</v>
      </c>
      <c r="AP27" t="s">
        <v>54</v>
      </c>
      <c r="AQ27" t="s">
        <v>55</v>
      </c>
      <c r="AR27" t="s">
        <v>73</v>
      </c>
    </row>
    <row r="28" spans="1:44" x14ac:dyDescent="0.2">
      <c r="A28" t="s">
        <v>57</v>
      </c>
      <c r="B28" t="s">
        <v>62</v>
      </c>
      <c r="C28" t="s">
        <v>63</v>
      </c>
      <c r="D28" t="s">
        <v>64</v>
      </c>
      <c r="E28" t="s">
        <v>65</v>
      </c>
      <c r="F28">
        <v>25</v>
      </c>
      <c r="G28">
        <v>1</v>
      </c>
      <c r="H28">
        <v>6</v>
      </c>
      <c r="I28" t="s">
        <v>65</v>
      </c>
      <c r="J28">
        <v>1</v>
      </c>
      <c r="K28">
        <v>0.65471891604829502</v>
      </c>
      <c r="L28" t="s">
        <v>55</v>
      </c>
      <c r="M28">
        <v>6</v>
      </c>
      <c r="N28">
        <v>1</v>
      </c>
      <c r="O28">
        <v>25</v>
      </c>
      <c r="P28">
        <v>0</v>
      </c>
      <c r="Q28">
        <v>35.221583292004603</v>
      </c>
      <c r="V28">
        <v>35.215865917038101</v>
      </c>
      <c r="W28">
        <v>35.221583292004603</v>
      </c>
      <c r="X28">
        <v>35.712595041957599</v>
      </c>
      <c r="Y28">
        <v>35.712595041957599</v>
      </c>
      <c r="Z28">
        <v>35.712595041957599</v>
      </c>
      <c r="AA28">
        <v>36.372224958031403</v>
      </c>
      <c r="AB28" t="s">
        <v>65</v>
      </c>
      <c r="AC28">
        <v>1</v>
      </c>
      <c r="AD28">
        <v>0.65471891604829502</v>
      </c>
      <c r="AE28" t="s">
        <v>55</v>
      </c>
      <c r="AJ28">
        <v>3</v>
      </c>
      <c r="AK28">
        <v>1</v>
      </c>
      <c r="AL28" t="s">
        <v>72</v>
      </c>
      <c r="AM28" t="s">
        <v>53</v>
      </c>
      <c r="AO28" t="s">
        <v>54</v>
      </c>
      <c r="AP28" t="s">
        <v>55</v>
      </c>
      <c r="AQ28" t="s">
        <v>73</v>
      </c>
    </row>
    <row r="29" spans="1:44" x14ac:dyDescent="0.2">
      <c r="A29" t="s">
        <v>66</v>
      </c>
      <c r="B29" t="s">
        <v>62</v>
      </c>
      <c r="C29" t="s">
        <v>59</v>
      </c>
      <c r="D29" t="s">
        <v>60</v>
      </c>
      <c r="E29" t="s">
        <v>65</v>
      </c>
      <c r="F29">
        <v>26</v>
      </c>
      <c r="G29">
        <v>2</v>
      </c>
      <c r="H29">
        <v>6</v>
      </c>
      <c r="I29" t="s">
        <v>65</v>
      </c>
      <c r="J29">
        <v>1</v>
      </c>
      <c r="K29">
        <v>0.77281912497710403</v>
      </c>
      <c r="L29" t="s">
        <v>55</v>
      </c>
      <c r="M29">
        <v>6</v>
      </c>
      <c r="N29">
        <v>2</v>
      </c>
      <c r="O29">
        <v>26</v>
      </c>
      <c r="P29">
        <v>2</v>
      </c>
      <c r="Q29">
        <v>36.395993249956497</v>
      </c>
      <c r="V29">
        <v>36.374556749942698</v>
      </c>
      <c r="W29">
        <v>36.395993249956497</v>
      </c>
      <c r="X29">
        <v>36.8694257079623</v>
      </c>
      <c r="Y29">
        <v>36.8694257079623</v>
      </c>
      <c r="Z29">
        <v>36.8694257079623</v>
      </c>
      <c r="AA29">
        <v>37.649540249956701</v>
      </c>
      <c r="AB29" t="s">
        <v>65</v>
      </c>
      <c r="AC29">
        <v>1</v>
      </c>
      <c r="AD29">
        <v>0.77281912497710403</v>
      </c>
      <c r="AE29" t="s">
        <v>55</v>
      </c>
      <c r="AJ29">
        <v>3</v>
      </c>
      <c r="AK29">
        <v>1</v>
      </c>
      <c r="AL29" t="s">
        <v>72</v>
      </c>
      <c r="AM29" t="s">
        <v>53</v>
      </c>
      <c r="AO29" t="s">
        <v>54</v>
      </c>
      <c r="AP29" t="s">
        <v>55</v>
      </c>
      <c r="AQ29" t="s">
        <v>73</v>
      </c>
    </row>
    <row r="30" spans="1:44" x14ac:dyDescent="0.2">
      <c r="A30" t="s">
        <v>66</v>
      </c>
      <c r="B30" t="s">
        <v>58</v>
      </c>
      <c r="C30" t="s">
        <v>63</v>
      </c>
      <c r="D30" t="s">
        <v>64</v>
      </c>
      <c r="E30" t="s">
        <v>61</v>
      </c>
      <c r="F30">
        <v>27</v>
      </c>
      <c r="G30">
        <v>3</v>
      </c>
      <c r="H30">
        <v>6</v>
      </c>
      <c r="I30" t="s">
        <v>61</v>
      </c>
      <c r="J30">
        <v>1</v>
      </c>
      <c r="K30">
        <v>0.54746612499002301</v>
      </c>
      <c r="L30" t="s">
        <v>55</v>
      </c>
      <c r="M30">
        <v>6</v>
      </c>
      <c r="N30">
        <v>3</v>
      </c>
      <c r="O30">
        <v>27</v>
      </c>
      <c r="P30">
        <v>3</v>
      </c>
      <c r="Q30">
        <v>37.6554160419618</v>
      </c>
      <c r="V30">
        <v>37.649981374968696</v>
      </c>
      <c r="W30">
        <v>37.6554160419618</v>
      </c>
      <c r="X30">
        <v>38.146029875031601</v>
      </c>
      <c r="Y30">
        <v>38.146029875031601</v>
      </c>
      <c r="Z30">
        <v>38.146029875031601</v>
      </c>
      <c r="AA30">
        <v>38.699430332984697</v>
      </c>
      <c r="AB30" t="s">
        <v>61</v>
      </c>
      <c r="AC30">
        <v>1</v>
      </c>
      <c r="AD30">
        <v>0.54746612499002301</v>
      </c>
      <c r="AE30" t="s">
        <v>55</v>
      </c>
      <c r="AJ30">
        <v>3</v>
      </c>
      <c r="AK30">
        <v>1</v>
      </c>
      <c r="AL30" t="s">
        <v>72</v>
      </c>
      <c r="AM30" t="s">
        <v>53</v>
      </c>
      <c r="AO30" t="s">
        <v>54</v>
      </c>
      <c r="AP30" t="s">
        <v>55</v>
      </c>
      <c r="AQ30" t="s">
        <v>73</v>
      </c>
    </row>
    <row r="31" spans="1:44" x14ac:dyDescent="0.2">
      <c r="A31" t="s">
        <v>57</v>
      </c>
      <c r="B31" t="s">
        <v>62</v>
      </c>
      <c r="C31" t="s">
        <v>63</v>
      </c>
      <c r="D31" t="s">
        <v>64</v>
      </c>
      <c r="E31" t="s">
        <v>65</v>
      </c>
      <c r="F31">
        <v>28</v>
      </c>
      <c r="G31">
        <v>0</v>
      </c>
      <c r="H31">
        <v>7</v>
      </c>
      <c r="I31" t="s">
        <v>65</v>
      </c>
      <c r="J31">
        <v>1</v>
      </c>
      <c r="K31">
        <v>0.62656399991828904</v>
      </c>
      <c r="L31" t="s">
        <v>55</v>
      </c>
      <c r="M31">
        <v>7</v>
      </c>
      <c r="N31">
        <v>0</v>
      </c>
      <c r="O31">
        <v>28</v>
      </c>
      <c r="P31">
        <v>0</v>
      </c>
      <c r="Q31">
        <v>38.707759917015203</v>
      </c>
      <c r="V31">
        <v>38.702198792016098</v>
      </c>
      <c r="W31">
        <v>38.707759917015203</v>
      </c>
      <c r="X31">
        <v>39.195719750015897</v>
      </c>
      <c r="Y31">
        <v>39.195719750015897</v>
      </c>
      <c r="Z31">
        <v>39.195719750015897</v>
      </c>
      <c r="AA31">
        <v>39.832313708029602</v>
      </c>
      <c r="AB31" t="s">
        <v>65</v>
      </c>
      <c r="AC31">
        <v>1</v>
      </c>
      <c r="AD31">
        <v>0.62656399991828904</v>
      </c>
      <c r="AE31" t="s">
        <v>55</v>
      </c>
      <c r="AJ31">
        <v>3</v>
      </c>
      <c r="AK31">
        <v>1</v>
      </c>
      <c r="AL31" t="s">
        <v>72</v>
      </c>
      <c r="AM31" t="s">
        <v>53</v>
      </c>
      <c r="AO31" t="s">
        <v>54</v>
      </c>
      <c r="AP31" t="s">
        <v>55</v>
      </c>
      <c r="AQ31" t="s">
        <v>73</v>
      </c>
    </row>
    <row r="32" spans="1:44" x14ac:dyDescent="0.2">
      <c r="A32" t="s">
        <v>66</v>
      </c>
      <c r="B32" t="s">
        <v>58</v>
      </c>
      <c r="C32" t="s">
        <v>63</v>
      </c>
      <c r="D32" t="s">
        <v>64</v>
      </c>
      <c r="E32" t="s">
        <v>61</v>
      </c>
      <c r="F32">
        <v>29</v>
      </c>
      <c r="G32">
        <v>1</v>
      </c>
      <c r="H32">
        <v>7</v>
      </c>
      <c r="I32" t="s">
        <v>61</v>
      </c>
      <c r="J32">
        <v>1</v>
      </c>
      <c r="K32">
        <v>1.00182000000495</v>
      </c>
      <c r="L32" t="s">
        <v>55</v>
      </c>
      <c r="M32">
        <v>7</v>
      </c>
      <c r="N32">
        <v>1</v>
      </c>
      <c r="O32">
        <v>29</v>
      </c>
      <c r="P32">
        <v>3</v>
      </c>
      <c r="Q32">
        <v>39.840256958035702</v>
      </c>
      <c r="V32">
        <v>39.834602041984901</v>
      </c>
      <c r="W32">
        <v>39.840256958035702</v>
      </c>
      <c r="X32">
        <v>40.329404082964103</v>
      </c>
      <c r="Y32">
        <v>40.329404082964103</v>
      </c>
      <c r="Z32">
        <v>40.329404082964103</v>
      </c>
      <c r="AA32">
        <v>41.332640541950198</v>
      </c>
      <c r="AB32" t="s">
        <v>61</v>
      </c>
      <c r="AC32">
        <v>1</v>
      </c>
      <c r="AD32">
        <v>1.00182000000495</v>
      </c>
      <c r="AE32" t="s">
        <v>55</v>
      </c>
      <c r="AJ32">
        <v>3</v>
      </c>
      <c r="AK32">
        <v>1</v>
      </c>
      <c r="AL32" t="s">
        <v>72</v>
      </c>
      <c r="AM32" t="s">
        <v>53</v>
      </c>
      <c r="AO32" t="s">
        <v>54</v>
      </c>
      <c r="AP32" t="s">
        <v>55</v>
      </c>
      <c r="AQ32" t="s">
        <v>73</v>
      </c>
    </row>
    <row r="33" spans="1:44" x14ac:dyDescent="0.2">
      <c r="A33" t="s">
        <v>66</v>
      </c>
      <c r="B33" t="s">
        <v>62</v>
      </c>
      <c r="C33" t="s">
        <v>59</v>
      </c>
      <c r="D33" t="s">
        <v>60</v>
      </c>
      <c r="E33" t="s">
        <v>65</v>
      </c>
      <c r="F33">
        <v>30</v>
      </c>
      <c r="G33">
        <v>2</v>
      </c>
      <c r="H33">
        <v>7</v>
      </c>
      <c r="I33" t="s">
        <v>65</v>
      </c>
      <c r="J33">
        <v>1</v>
      </c>
      <c r="K33">
        <v>0.66664229205343795</v>
      </c>
      <c r="L33" t="s">
        <v>55</v>
      </c>
      <c r="M33">
        <v>7</v>
      </c>
      <c r="N33">
        <v>2</v>
      </c>
      <c r="O33">
        <v>30</v>
      </c>
      <c r="P33">
        <v>2</v>
      </c>
      <c r="Q33">
        <v>41.336885167052898</v>
      </c>
      <c r="V33">
        <v>41.333070332999299</v>
      </c>
      <c r="W33">
        <v>41.336885167052898</v>
      </c>
      <c r="X33">
        <v>41.828762167016897</v>
      </c>
      <c r="Y33">
        <v>41.828762167016897</v>
      </c>
      <c r="Z33">
        <v>41.828762167016897</v>
      </c>
      <c r="AA33">
        <v>42.498931957990798</v>
      </c>
      <c r="AB33" t="s">
        <v>65</v>
      </c>
      <c r="AC33">
        <v>1</v>
      </c>
      <c r="AD33">
        <v>0.66664229205343795</v>
      </c>
      <c r="AE33" t="s">
        <v>55</v>
      </c>
      <c r="AJ33">
        <v>3</v>
      </c>
      <c r="AK33">
        <v>1</v>
      </c>
      <c r="AL33" t="s">
        <v>72</v>
      </c>
      <c r="AM33" t="s">
        <v>53</v>
      </c>
      <c r="AO33" t="s">
        <v>54</v>
      </c>
      <c r="AP33" t="s">
        <v>55</v>
      </c>
      <c r="AQ33" t="s">
        <v>73</v>
      </c>
    </row>
    <row r="34" spans="1:44" x14ac:dyDescent="0.2">
      <c r="A34" t="s">
        <v>57</v>
      </c>
      <c r="B34" t="s">
        <v>58</v>
      </c>
      <c r="C34" t="s">
        <v>59</v>
      </c>
      <c r="D34" t="s">
        <v>60</v>
      </c>
      <c r="E34" t="s">
        <v>61</v>
      </c>
      <c r="F34">
        <v>31</v>
      </c>
      <c r="G34">
        <v>3</v>
      </c>
      <c r="H34">
        <v>7</v>
      </c>
      <c r="I34" t="s">
        <v>61</v>
      </c>
      <c r="J34">
        <v>1</v>
      </c>
      <c r="K34">
        <v>1.54164191696327</v>
      </c>
      <c r="L34" t="s">
        <v>55</v>
      </c>
      <c r="M34">
        <v>7</v>
      </c>
      <c r="N34">
        <v>3</v>
      </c>
      <c r="O34">
        <v>31</v>
      </c>
      <c r="P34">
        <v>1</v>
      </c>
      <c r="Q34">
        <v>42.506812833016703</v>
      </c>
      <c r="V34">
        <v>42.501178166945401</v>
      </c>
      <c r="W34">
        <v>42.506812833016703</v>
      </c>
      <c r="X34">
        <v>42.995642791967803</v>
      </c>
      <c r="Y34">
        <v>42.995642791967803</v>
      </c>
      <c r="Z34">
        <v>42.995642791967803</v>
      </c>
      <c r="AA34">
        <v>44.539209458045598</v>
      </c>
      <c r="AB34" t="s">
        <v>61</v>
      </c>
      <c r="AC34">
        <v>1</v>
      </c>
      <c r="AD34">
        <v>1.54164191696327</v>
      </c>
      <c r="AE34" t="s">
        <v>55</v>
      </c>
      <c r="AJ34">
        <v>3</v>
      </c>
      <c r="AK34">
        <v>1</v>
      </c>
      <c r="AL34" t="s">
        <v>72</v>
      </c>
      <c r="AM34" t="s">
        <v>53</v>
      </c>
      <c r="AO34" t="s">
        <v>54</v>
      </c>
      <c r="AP34" t="s">
        <v>55</v>
      </c>
      <c r="AQ34" t="s">
        <v>73</v>
      </c>
    </row>
    <row r="35" spans="1:44" x14ac:dyDescent="0.2">
      <c r="A35" t="s">
        <v>66</v>
      </c>
      <c r="B35" t="s">
        <v>62</v>
      </c>
      <c r="C35" t="s">
        <v>59</v>
      </c>
      <c r="D35" t="s">
        <v>60</v>
      </c>
      <c r="E35" t="s">
        <v>65</v>
      </c>
      <c r="F35">
        <v>32</v>
      </c>
      <c r="G35">
        <v>0</v>
      </c>
      <c r="H35">
        <v>8</v>
      </c>
      <c r="I35" t="s">
        <v>65</v>
      </c>
      <c r="J35">
        <v>1</v>
      </c>
      <c r="K35">
        <v>0.91272363000000001</v>
      </c>
      <c r="L35" t="s">
        <v>55</v>
      </c>
      <c r="M35">
        <v>8</v>
      </c>
      <c r="N35">
        <v>0</v>
      </c>
      <c r="O35">
        <v>32</v>
      </c>
      <c r="P35">
        <v>2</v>
      </c>
      <c r="Q35">
        <v>44.547112999949597</v>
      </c>
      <c r="V35">
        <v>44.541421875008297</v>
      </c>
      <c r="W35">
        <v>44.547112999949597</v>
      </c>
      <c r="X35">
        <v>45.036653917049897</v>
      </c>
      <c r="Y35">
        <v>45.036653917049897</v>
      </c>
      <c r="Z35">
        <v>45.036653917049897</v>
      </c>
      <c r="AA35">
        <v>45.9552786250133</v>
      </c>
      <c r="AB35" t="s">
        <v>65</v>
      </c>
      <c r="AC35">
        <v>1</v>
      </c>
      <c r="AD35">
        <v>0.91272363000000001</v>
      </c>
      <c r="AE35" t="s">
        <v>55</v>
      </c>
      <c r="AJ35">
        <v>3</v>
      </c>
      <c r="AK35">
        <v>1</v>
      </c>
      <c r="AL35" t="s">
        <v>72</v>
      </c>
      <c r="AM35" t="s">
        <v>53</v>
      </c>
      <c r="AO35" t="s">
        <v>54</v>
      </c>
      <c r="AP35" t="s">
        <v>55</v>
      </c>
      <c r="AQ35" t="s">
        <v>73</v>
      </c>
    </row>
    <row r="36" spans="1:44" x14ac:dyDescent="0.2">
      <c r="A36" t="s">
        <v>66</v>
      </c>
      <c r="B36" t="s">
        <v>58</v>
      </c>
      <c r="C36" t="s">
        <v>63</v>
      </c>
      <c r="D36" t="s">
        <v>64</v>
      </c>
      <c r="E36" t="s">
        <v>61</v>
      </c>
      <c r="F36">
        <v>33</v>
      </c>
      <c r="G36">
        <v>1</v>
      </c>
      <c r="H36">
        <v>8</v>
      </c>
      <c r="I36" t="s">
        <v>61</v>
      </c>
      <c r="J36">
        <v>1</v>
      </c>
      <c r="K36">
        <v>0.90323170798365005</v>
      </c>
      <c r="L36" t="s">
        <v>55</v>
      </c>
      <c r="M36">
        <v>8</v>
      </c>
      <c r="N36">
        <v>1</v>
      </c>
      <c r="O36">
        <v>33</v>
      </c>
      <c r="P36">
        <v>3</v>
      </c>
      <c r="Q36">
        <v>45.962094667018299</v>
      </c>
      <c r="V36">
        <v>45.955707750050301</v>
      </c>
      <c r="W36">
        <v>45.962094667018299</v>
      </c>
      <c r="X36">
        <v>46.453242541989297</v>
      </c>
      <c r="Y36">
        <v>46.453242541989297</v>
      </c>
      <c r="Z36">
        <v>46.453242541989297</v>
      </c>
      <c r="AA36">
        <v>47.365970000042502</v>
      </c>
      <c r="AB36" t="s">
        <v>61</v>
      </c>
      <c r="AC36">
        <v>1</v>
      </c>
      <c r="AD36">
        <v>0.90323170798365005</v>
      </c>
      <c r="AE36" t="s">
        <v>55</v>
      </c>
      <c r="AJ36">
        <v>3</v>
      </c>
      <c r="AK36">
        <v>1</v>
      </c>
      <c r="AL36" t="s">
        <v>72</v>
      </c>
      <c r="AM36" t="s">
        <v>53</v>
      </c>
      <c r="AO36" t="s">
        <v>54</v>
      </c>
      <c r="AP36" t="s">
        <v>55</v>
      </c>
      <c r="AQ36" t="s">
        <v>73</v>
      </c>
    </row>
    <row r="37" spans="1:44" x14ac:dyDescent="0.2">
      <c r="A37" t="s">
        <v>57</v>
      </c>
      <c r="B37" t="s">
        <v>58</v>
      </c>
      <c r="C37" t="s">
        <v>59</v>
      </c>
      <c r="D37" t="s">
        <v>60</v>
      </c>
      <c r="E37" t="s">
        <v>61</v>
      </c>
      <c r="F37">
        <v>34</v>
      </c>
      <c r="G37">
        <v>2</v>
      </c>
      <c r="H37">
        <v>8</v>
      </c>
      <c r="I37" t="s">
        <v>61</v>
      </c>
      <c r="J37">
        <v>1</v>
      </c>
      <c r="K37">
        <v>0.68448245793115303</v>
      </c>
      <c r="L37" t="s">
        <v>55</v>
      </c>
      <c r="M37">
        <v>8</v>
      </c>
      <c r="N37">
        <v>2</v>
      </c>
      <c r="O37">
        <v>34</v>
      </c>
      <c r="P37">
        <v>1</v>
      </c>
      <c r="Q37">
        <v>47.373799792025203</v>
      </c>
      <c r="V37">
        <v>47.368220082949797</v>
      </c>
      <c r="W37">
        <v>47.373799792025203</v>
      </c>
      <c r="X37">
        <v>47.862935542012501</v>
      </c>
      <c r="Y37">
        <v>47.862935542012501</v>
      </c>
      <c r="Z37">
        <v>47.862935542012501</v>
      </c>
      <c r="AA37">
        <v>48.549536708043803</v>
      </c>
      <c r="AB37" t="s">
        <v>61</v>
      </c>
      <c r="AC37">
        <v>1</v>
      </c>
      <c r="AD37">
        <v>0.68448245793115303</v>
      </c>
      <c r="AE37" t="s">
        <v>55</v>
      </c>
      <c r="AJ37">
        <v>3</v>
      </c>
      <c r="AK37">
        <v>1</v>
      </c>
      <c r="AL37" t="s">
        <v>72</v>
      </c>
      <c r="AM37" t="s">
        <v>53</v>
      </c>
      <c r="AO37" t="s">
        <v>54</v>
      </c>
      <c r="AP37" t="s">
        <v>55</v>
      </c>
      <c r="AQ37" t="s">
        <v>73</v>
      </c>
    </row>
    <row r="38" spans="1:44" x14ac:dyDescent="0.2">
      <c r="A38" t="s">
        <v>57</v>
      </c>
      <c r="B38" t="s">
        <v>62</v>
      </c>
      <c r="C38" t="s">
        <v>63</v>
      </c>
      <c r="D38" t="s">
        <v>64</v>
      </c>
      <c r="E38" t="s">
        <v>65</v>
      </c>
      <c r="F38">
        <v>35</v>
      </c>
      <c r="G38">
        <v>3</v>
      </c>
      <c r="H38">
        <v>8</v>
      </c>
      <c r="I38" t="s">
        <v>65</v>
      </c>
      <c r="J38">
        <v>1</v>
      </c>
      <c r="K38">
        <v>0.61430845793802202</v>
      </c>
      <c r="L38" t="s">
        <v>55</v>
      </c>
      <c r="M38">
        <v>8</v>
      </c>
      <c r="N38">
        <v>3</v>
      </c>
      <c r="O38">
        <v>35</v>
      </c>
      <c r="P38">
        <v>0</v>
      </c>
      <c r="Q38">
        <v>48.553486958029602</v>
      </c>
      <c r="V38">
        <v>48.549965874990399</v>
      </c>
      <c r="W38">
        <v>48.553486958029602</v>
      </c>
      <c r="X38">
        <v>49.046383499982703</v>
      </c>
      <c r="Y38">
        <v>49.046383499982703</v>
      </c>
      <c r="Z38">
        <v>49.046383499982703</v>
      </c>
      <c r="AA38">
        <v>49.666109957964999</v>
      </c>
      <c r="AB38" t="s">
        <v>65</v>
      </c>
      <c r="AC38">
        <v>1</v>
      </c>
      <c r="AD38">
        <v>0.61430845793802202</v>
      </c>
      <c r="AE38" t="s">
        <v>55</v>
      </c>
      <c r="AJ38">
        <v>3</v>
      </c>
      <c r="AK38">
        <v>1</v>
      </c>
      <c r="AL38" t="s">
        <v>72</v>
      </c>
      <c r="AM38" t="s">
        <v>53</v>
      </c>
      <c r="AO38" t="s">
        <v>54</v>
      </c>
      <c r="AP38" t="s">
        <v>55</v>
      </c>
      <c r="AQ38" t="s">
        <v>73</v>
      </c>
    </row>
    <row r="39" spans="1:44" x14ac:dyDescent="0.2">
      <c r="A39" t="s">
        <v>66</v>
      </c>
      <c r="B39" t="s">
        <v>62</v>
      </c>
      <c r="C39" t="s">
        <v>59</v>
      </c>
      <c r="D39" t="s">
        <v>60</v>
      </c>
      <c r="E39" t="s">
        <v>65</v>
      </c>
      <c r="F39">
        <v>36</v>
      </c>
      <c r="G39">
        <v>0</v>
      </c>
      <c r="H39">
        <v>9</v>
      </c>
      <c r="I39" t="s">
        <v>65</v>
      </c>
      <c r="J39">
        <v>1</v>
      </c>
      <c r="K39">
        <v>1.0047394580906199</v>
      </c>
      <c r="L39" t="s">
        <v>55</v>
      </c>
      <c r="M39">
        <v>9</v>
      </c>
      <c r="N39">
        <v>0</v>
      </c>
      <c r="O39">
        <v>36</v>
      </c>
      <c r="P39">
        <v>2</v>
      </c>
      <c r="Q39">
        <v>49.673948833020397</v>
      </c>
      <c r="V39">
        <v>49.668341082986402</v>
      </c>
      <c r="W39">
        <v>49.673948833020397</v>
      </c>
      <c r="X39">
        <v>50.162810332956703</v>
      </c>
      <c r="Y39">
        <v>50.162810332956703</v>
      </c>
      <c r="Z39">
        <v>50.162810332956703</v>
      </c>
      <c r="AA39">
        <v>51.173071042052399</v>
      </c>
      <c r="AB39" t="s">
        <v>65</v>
      </c>
      <c r="AC39">
        <v>1</v>
      </c>
      <c r="AD39">
        <v>1.0047394580906199</v>
      </c>
      <c r="AE39" t="s">
        <v>55</v>
      </c>
      <c r="AJ39">
        <v>3</v>
      </c>
      <c r="AK39">
        <v>1</v>
      </c>
      <c r="AL39" t="s">
        <v>72</v>
      </c>
      <c r="AM39" t="s">
        <v>53</v>
      </c>
      <c r="AO39" t="s">
        <v>54</v>
      </c>
      <c r="AP39" t="s">
        <v>55</v>
      </c>
      <c r="AQ39" t="s">
        <v>73</v>
      </c>
    </row>
    <row r="40" spans="1:44" x14ac:dyDescent="0.2">
      <c r="A40" t="s">
        <v>57</v>
      </c>
      <c r="B40" t="s">
        <v>58</v>
      </c>
      <c r="C40" t="s">
        <v>59</v>
      </c>
      <c r="D40" t="s">
        <v>60</v>
      </c>
      <c r="E40" t="s">
        <v>61</v>
      </c>
      <c r="F40">
        <v>37</v>
      </c>
      <c r="G40">
        <v>1</v>
      </c>
      <c r="H40">
        <v>9</v>
      </c>
      <c r="I40" t="s">
        <v>61</v>
      </c>
      <c r="J40">
        <v>1</v>
      </c>
      <c r="K40">
        <v>0.86002395802643095</v>
      </c>
      <c r="L40" t="s">
        <v>55</v>
      </c>
      <c r="M40">
        <v>9</v>
      </c>
      <c r="N40">
        <v>1</v>
      </c>
      <c r="O40">
        <v>37</v>
      </c>
      <c r="P40">
        <v>1</v>
      </c>
      <c r="Q40">
        <v>51.196410542004699</v>
      </c>
      <c r="V40">
        <v>51.1753863</v>
      </c>
      <c r="W40">
        <v>51.196410542004699</v>
      </c>
      <c r="X40">
        <v>51.670390708022701</v>
      </c>
      <c r="Y40">
        <v>51.670390708022701</v>
      </c>
      <c r="Z40">
        <v>51.670390708022701</v>
      </c>
      <c r="AA40">
        <v>52.533224208047599</v>
      </c>
      <c r="AB40" t="s">
        <v>61</v>
      </c>
      <c r="AC40">
        <v>1</v>
      </c>
      <c r="AD40">
        <v>0.86002395802643095</v>
      </c>
      <c r="AE40" t="s">
        <v>55</v>
      </c>
      <c r="AJ40">
        <v>3</v>
      </c>
      <c r="AK40">
        <v>1</v>
      </c>
      <c r="AL40" t="s">
        <v>72</v>
      </c>
      <c r="AM40" t="s">
        <v>53</v>
      </c>
      <c r="AO40" t="s">
        <v>54</v>
      </c>
      <c r="AP40" t="s">
        <v>55</v>
      </c>
      <c r="AQ40" t="s">
        <v>73</v>
      </c>
    </row>
    <row r="41" spans="1:44" x14ac:dyDescent="0.2">
      <c r="A41" t="s">
        <v>66</v>
      </c>
      <c r="B41" t="s">
        <v>58</v>
      </c>
      <c r="C41" t="s">
        <v>63</v>
      </c>
      <c r="D41" t="s">
        <v>64</v>
      </c>
      <c r="E41" t="s">
        <v>61</v>
      </c>
      <c r="F41">
        <v>38</v>
      </c>
      <c r="G41">
        <v>2</v>
      </c>
      <c r="H41">
        <v>9</v>
      </c>
      <c r="I41" t="s">
        <v>61</v>
      </c>
      <c r="J41">
        <v>1</v>
      </c>
      <c r="K41">
        <v>0.81572416599374198</v>
      </c>
      <c r="L41" t="s">
        <v>55</v>
      </c>
      <c r="M41">
        <v>9</v>
      </c>
      <c r="N41">
        <v>2</v>
      </c>
      <c r="O41">
        <v>38</v>
      </c>
      <c r="P41">
        <v>3</v>
      </c>
      <c r="Q41">
        <v>52.541097399999998</v>
      </c>
      <c r="W41">
        <v>52.535439374973002</v>
      </c>
      <c r="X41">
        <v>52.541097399999998</v>
      </c>
      <c r="Y41">
        <v>53.029885541996897</v>
      </c>
      <c r="Z41">
        <v>53.029885541996897</v>
      </c>
      <c r="AA41">
        <v>53.029885541996897</v>
      </c>
      <c r="AB41">
        <v>53.849784499965601</v>
      </c>
      <c r="AC41" t="s">
        <v>61</v>
      </c>
      <c r="AD41">
        <v>1</v>
      </c>
      <c r="AE41">
        <v>0.81572416599374198</v>
      </c>
      <c r="AF41" t="s">
        <v>55</v>
      </c>
      <c r="AK41">
        <v>3</v>
      </c>
      <c r="AL41">
        <v>1</v>
      </c>
      <c r="AM41" t="s">
        <v>72</v>
      </c>
      <c r="AN41" t="s">
        <v>53</v>
      </c>
      <c r="AP41" t="s">
        <v>54</v>
      </c>
      <c r="AQ41" t="s">
        <v>55</v>
      </c>
      <c r="AR41" t="s">
        <v>73</v>
      </c>
    </row>
    <row r="42" spans="1:44" x14ac:dyDescent="0.2">
      <c r="A42" t="s">
        <v>57</v>
      </c>
      <c r="B42" t="s">
        <v>62</v>
      </c>
      <c r="C42" t="s">
        <v>63</v>
      </c>
      <c r="D42" t="s">
        <v>64</v>
      </c>
      <c r="E42" t="s">
        <v>65</v>
      </c>
      <c r="F42">
        <v>39</v>
      </c>
      <c r="G42">
        <v>3</v>
      </c>
      <c r="H42">
        <v>9</v>
      </c>
      <c r="I42" t="s">
        <v>65</v>
      </c>
      <c r="J42">
        <v>1</v>
      </c>
      <c r="K42">
        <v>0.836064166971482</v>
      </c>
      <c r="L42" t="s">
        <v>55</v>
      </c>
      <c r="M42">
        <v>9</v>
      </c>
      <c r="N42">
        <v>3</v>
      </c>
      <c r="O42">
        <v>39</v>
      </c>
      <c r="P42">
        <v>0</v>
      </c>
      <c r="Q42">
        <v>53.858191750012303</v>
      </c>
      <c r="V42">
        <v>53.852553750039</v>
      </c>
      <c r="W42">
        <v>53.858191750012303</v>
      </c>
      <c r="X42">
        <v>54.346420124988001</v>
      </c>
      <c r="Y42">
        <v>54.346420124988001</v>
      </c>
      <c r="Z42">
        <v>54.346420124988001</v>
      </c>
      <c r="AA42">
        <v>55.188969542039501</v>
      </c>
      <c r="AB42" t="s">
        <v>65</v>
      </c>
      <c r="AC42">
        <v>1</v>
      </c>
      <c r="AD42">
        <v>0.836064166971482</v>
      </c>
      <c r="AE42" t="s">
        <v>55</v>
      </c>
      <c r="AJ42">
        <v>3</v>
      </c>
      <c r="AK42">
        <v>1</v>
      </c>
      <c r="AL42" t="s">
        <v>72</v>
      </c>
      <c r="AM42" t="s">
        <v>53</v>
      </c>
      <c r="AO42" t="s">
        <v>54</v>
      </c>
      <c r="AP42" t="s">
        <v>55</v>
      </c>
      <c r="AQ42" t="s">
        <v>73</v>
      </c>
    </row>
    <row r="43" spans="1:44" x14ac:dyDescent="0.2">
      <c r="AG43">
        <v>55.189098667004103</v>
      </c>
      <c r="AH43">
        <v>55.195950582972699</v>
      </c>
      <c r="AI43">
        <v>56.185765333008</v>
      </c>
      <c r="AJ43">
        <v>56.182340250001197</v>
      </c>
      <c r="AK43">
        <v>3</v>
      </c>
      <c r="AL43">
        <v>1</v>
      </c>
      <c r="AM43" t="s">
        <v>72</v>
      </c>
      <c r="AN43" t="s">
        <v>53</v>
      </c>
      <c r="AP43" t="s">
        <v>54</v>
      </c>
      <c r="AQ43" t="s">
        <v>55</v>
      </c>
      <c r="AR43" t="s">
        <v>73</v>
      </c>
    </row>
    <row r="45" spans="1:44" x14ac:dyDescent="0.2">
      <c r="B45" t="s">
        <v>67</v>
      </c>
      <c r="C45">
        <v>0.68287688000000002</v>
      </c>
    </row>
    <row r="46" spans="1:44" x14ac:dyDescent="0.2">
      <c r="B46" t="s">
        <v>68</v>
      </c>
      <c r="C46">
        <v>0.84517520999999995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Shah</dc:creator>
  <cp:lastModifiedBy>Krisha Shah</cp:lastModifiedBy>
  <dcterms:created xsi:type="dcterms:W3CDTF">2025-08-26T10:25:25Z</dcterms:created>
  <dcterms:modified xsi:type="dcterms:W3CDTF">2025-08-26T11:41:21Z</dcterms:modified>
</cp:coreProperties>
</file>