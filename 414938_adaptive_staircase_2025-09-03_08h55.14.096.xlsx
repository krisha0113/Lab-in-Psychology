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ashah/Desktop/adaptive starcase/data/"/>
    </mc:Choice>
  </mc:AlternateContent>
  <xr:revisionPtr revIDLastSave="0" documentId="13_ncr:1_{BDCA5858-AAE4-FB4B-8D1F-8513DC950A6B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414938_adaptive_staircase_2025-" sheetId="1" r:id="rId1"/>
    <sheet name="Calcul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F12" i="2"/>
  <c r="A2" i="2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<sst xmlns="http://schemas.openxmlformats.org/spreadsheetml/2006/main" count="1592" uniqueCount="672">
  <si>
    <t>stair.thisTrialN</t>
  </si>
  <si>
    <t>stair.stepSize</t>
  </si>
  <si>
    <t>stair.intensity</t>
  </si>
  <si>
    <t>thisRow.t</t>
  </si>
  <si>
    <t>notes</t>
  </si>
  <si>
    <t>Instructions.started</t>
  </si>
  <si>
    <t>instructions.started</t>
  </si>
  <si>
    <t>Instructions.stopped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</si>
  <si>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</si>
  <si>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</si>
  <si>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</si>
  <si>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</si>
  <si>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</si>
  <si>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</si>
  <si>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</si>
  <si>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</si>
  <si>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</si>
  <si>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</si>
  <si>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</si>
  <si>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</si>
  <si>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Thank_You_.started</t>
  </si>
  <si>
    <t>thank_you.started</t>
  </si>
  <si>
    <t>thank_you.stopped</t>
  </si>
  <si>
    <t>Thank_You_.stopped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</si>
  <si>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</si>
  <si>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</si>
  <si>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</si>
  <si>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</si>
  <si>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</si>
  <si>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</si>
  <si>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</si>
  <si>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</si>
  <si>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3.0106829999713227</t>
  </si>
  <si>
    <t>001</t>
  </si>
  <si>
    <t>2025-09-03_08h55.14.096</t>
  </si>
  <si>
    <t>adaptive_staircase</t>
  </si>
  <si>
    <t>2025.1.1</t>
  </si>
  <si>
    <t>None</t>
  </si>
  <si>
    <t>2025-09-03 08h55.16.497906 +0530</t>
  </si>
  <si>
    <t>3.0220530829392374</t>
  </si>
  <si>
    <t>3.011696374975145</t>
  </si>
  <si>
    <t>3.506344125024043</t>
  </si>
  <si>
    <t>3.5098207079572603</t>
  </si>
  <si>
    <t>3.797337875002995</t>
  </si>
  <si>
    <t>4.293603416997939</t>
  </si>
  <si>
    <t>right</t>
  </si>
  <si>
    <t>0.5444329989841208</t>
  </si>
  <si>
    <t>4.305048333015293</t>
  </si>
  <si>
    <t>4.293726374977268</t>
  </si>
  <si>
    <t>4.782686625025235</t>
  </si>
  <si>
    <t>4.797488207928836</t>
  </si>
  <si>
    <t>5.081039082957432</t>
  </si>
  <si>
    <t>5.412572582950816</t>
  </si>
  <si>
    <t>left</t>
  </si>
  <si>
    <t>0.6231761659728363</t>
  </si>
  <si>
    <t>5.420138832996599</t>
  </si>
  <si>
    <t>5.413000499946065</t>
  </si>
  <si>
    <t>5.910666249925271</t>
  </si>
  <si>
    <t>5.914489791961387</t>
  </si>
  <si>
    <t>6.1975474579958245</t>
  </si>
  <si>
    <t>6.349493250017986</t>
  </si>
  <si>
    <t>0.4340407069539651</t>
  </si>
  <si>
    <t>6.364760374999605</t>
  </si>
  <si>
    <t>6.349874124978669</t>
  </si>
  <si>
    <t>6.8498391669709235</t>
  </si>
  <si>
    <t>7.147846083040349</t>
  </si>
  <si>
    <t>7.5799025419401005</t>
  </si>
  <si>
    <t>0.7200477910228074</t>
  </si>
  <si>
    <t>7.588184666936286</t>
  </si>
  <si>
    <t>7.5804827499669045</t>
  </si>
  <si>
    <t>8.081210082978942</t>
  </si>
  <si>
    <t>8.364537207991816</t>
  </si>
  <si>
    <t>0.4694631660822779</t>
  </si>
  <si>
    <t>8.560485000023618</t>
  </si>
  <si>
    <t>8.549277249956504</t>
  </si>
  <si>
    <t>9.043939791969024</t>
  </si>
  <si>
    <t>9.047975542023778</t>
  </si>
  <si>
    <t>9.331194582977332</t>
  </si>
  <si>
    <t>9.632773707970046</t>
  </si>
  <si>
    <t>0.5847247489728034</t>
  </si>
  <si>
    <t>9.644064499996603</t>
  </si>
  <si>
    <t>9.633129624999128</t>
  </si>
  <si>
    <t>10.132414749939926</t>
  </si>
  <si>
    <t>10.43123183294665</t>
  </si>
  <si>
    <t>10.749286792008206</t>
  </si>
  <si>
    <t>0.6153473319718614</t>
  </si>
  <si>
    <t>10.760671500000171</t>
  </si>
  <si>
    <t>10.749621832976118</t>
  </si>
  <si>
    <t>11.244184957933612</t>
  </si>
  <si>
    <t>11.248966292012483</t>
  </si>
  <si>
    <t>11.531313957995735</t>
  </si>
  <si>
    <t>12.47944699996151</t>
  </si>
  <si>
    <t>1.224520082003437</t>
  </si>
  <si>
    <t>12.487008832977153</t>
  </si>
  <si>
    <t>12.479883500025608</t>
  </si>
  <si>
    <t>12.977159957983531</t>
  </si>
  <si>
    <t>12.981237582978792</t>
  </si>
  <si>
    <t>13.264621417038143</t>
  </si>
  <si>
    <t>13.69621904194355</t>
  </si>
  <si>
    <t>0.7096807910129428</t>
  </si>
  <si>
    <t>13.703876707935706</t>
  </si>
  <si>
    <t>13.696654499974102</t>
  </si>
  <si>
    <t>14.194164832937531</t>
  </si>
  <si>
    <t>14.198256458039396</t>
  </si>
  <si>
    <t>14.481602667015977</t>
  </si>
  <si>
    <t>14.91269637492951</t>
  </si>
  <si>
    <t>0.7075918330810964</t>
  </si>
  <si>
    <t>14.920370874926448</t>
  </si>
  <si>
    <t>14.91312099993229</t>
  </si>
  <si>
    <t>15.410895916982554</t>
  </si>
  <si>
    <t>15.415342374937609</t>
  </si>
  <si>
    <t>15.698018374969251</t>
  </si>
  <si>
    <t>16.91293129196856</t>
  </si>
  <si>
    <t>1.4929512909147888</t>
  </si>
  <si>
    <t>16.920993624953553</t>
  </si>
  <si>
    <t>16.913366624969058</t>
  </si>
  <si>
    <t>17.41091687500011</t>
  </si>
  <si>
    <t>17.415029749972746</t>
  </si>
  <si>
    <t>17.69839375000447</t>
  </si>
  <si>
    <t>18.09618600003887</t>
  </si>
  <si>
    <t>0.6708627069601789</t>
  </si>
  <si>
    <t>18.10361612495035</t>
  </si>
  <si>
    <t>18.096604291931726</t>
  </si>
  <si>
    <t>18.594184958026744</t>
  </si>
  <si>
    <t>18.598028208012693</t>
  </si>
  <si>
    <t>18.881154750008136</t>
  </si>
  <si>
    <t>19.329650499974377</t>
  </si>
  <si>
    <t>19.33696508302819</t>
  </si>
  <si>
    <t>19.33007833303418</t>
  </si>
  <si>
    <t>19.827455166960135</t>
  </si>
  <si>
    <t>19.831491541932337</t>
  </si>
  <si>
    <t>20.11477574997116</t>
  </si>
  <si>
    <t>20.562901375000365</t>
  </si>
  <si>
    <t>0.7274933329317719</t>
  </si>
  <si>
    <t>20.570574291981757</t>
  </si>
  <si>
    <t>20.563343291985802</t>
  </si>
  <si>
    <t>21.060924291959964</t>
  </si>
  <si>
    <t>21.065285583026707</t>
  </si>
  <si>
    <t>21.348160999943502</t>
  </si>
  <si>
    <t>21.712451542029157</t>
  </si>
  <si>
    <t>0.6471273740753531</t>
  </si>
  <si>
    <t>21.71969362499658</t>
  </si>
  <si>
    <t>21.712800708017312</t>
  </si>
  <si>
    <t>22.210977750015445</t>
  </si>
  <si>
    <t>22.215116249979474</t>
  </si>
  <si>
    <t>22.498578042024747</t>
  </si>
  <si>
    <t>23.09639466693625</t>
  </si>
  <si>
    <t>0.8759253319585696</t>
  </si>
  <si>
    <t>23.10336470801849</t>
  </si>
  <si>
    <t>23.09679124993272</t>
  </si>
  <si>
    <t>23.594219416962005</t>
  </si>
  <si>
    <t>23.598242999985814</t>
  </si>
  <si>
    <t>23.881496249930933</t>
  </si>
  <si>
    <t>24.279943667002954</t>
  </si>
  <si>
    <t>0.6716230829479173</t>
  </si>
  <si>
    <t>24.287434249999933</t>
  </si>
  <si>
    <t>24.28047624998726</t>
  </si>
  <si>
    <t>24.77771724993363</t>
  </si>
  <si>
    <t>24.781798249925487</t>
  </si>
  <si>
    <t>25.064771667006426</t>
  </si>
  <si>
    <t>25.279446957982145</t>
  </si>
  <si>
    <t>0.4982826659688726</t>
  </si>
  <si>
    <t>25.28668562497478</t>
  </si>
  <si>
    <t>25.279853167012334</t>
  </si>
  <si>
    <t>25.777902583009563</t>
  </si>
  <si>
    <t>25.782269082963467</t>
  </si>
  <si>
    <t>26.06499616696965</t>
  </si>
  <si>
    <t>26.379980999976397</t>
  </si>
  <si>
    <t>0.5928776239743456</t>
  </si>
  <si>
    <t>26.386731958016753</t>
  </si>
  <si>
    <t>26.38038458302617</t>
  </si>
  <si>
    <t>26.877720832941122</t>
  </si>
  <si>
    <t>26.88246795802843</t>
  </si>
  <si>
    <t>27.165001792018302</t>
  </si>
  <si>
    <t>27.479723041993566</t>
  </si>
  <si>
    <t>27.486436332925223</t>
  </si>
  <si>
    <t>27.480071166995913</t>
  </si>
  <si>
    <t>27.977645625011064</t>
  </si>
  <si>
    <t>28.265165042015724</t>
  </si>
  <si>
    <t>28.496645457926206</t>
  </si>
  <si>
    <t>0.5103565829340369</t>
  </si>
  <si>
    <t>28.503332916996442</t>
  </si>
  <si>
    <t>28.497046874952503</t>
  </si>
  <si>
    <t>28.99465504195541</t>
  </si>
  <si>
    <t>28.998797417036258</t>
  </si>
  <si>
    <t>29.281795750022866</t>
  </si>
  <si>
    <t>29.567738833022304</t>
  </si>
  <si>
    <t>0.5692239159252495</t>
  </si>
  <si>
    <t>29.57750766701065</t>
  </si>
  <si>
    <t>29.568158874986693</t>
  </si>
  <si>
    <t>30.06618666695431</t>
  </si>
  <si>
    <t>30.365123708033934</t>
  </si>
  <si>
    <t>30.563220583018847</t>
  </si>
  <si>
    <t>0.49199608201161027</t>
  </si>
  <si>
    <t>30.570384457940236</t>
  </si>
  <si>
    <t>30.563622749992646</t>
  </si>
  <si>
    <t>31.061199249932542</t>
  </si>
  <si>
    <t>31.065980041981675</t>
  </si>
  <si>
    <t>31.348474332946353</t>
  </si>
  <si>
    <t>31.55029012495652</t>
  </si>
  <si>
    <t>0.4855911659542471</t>
  </si>
  <si>
    <t>31.56117424997501</t>
  </si>
  <si>
    <t>31.550668166950345</t>
  </si>
  <si>
    <t>32.050421708030626</t>
  </si>
  <si>
    <t>32.34856850001961</t>
  </si>
  <si>
    <t>32.74720695801079</t>
  </si>
  <si>
    <t>0.6814535410376266</t>
  </si>
  <si>
    <t>32.75512099999469</t>
  </si>
  <si>
    <t>33.244687458034605</t>
  </si>
  <si>
    <t>33.24852912500501</t>
  </si>
  <si>
    <t>33.53210383292753</t>
  </si>
  <si>
    <t>33.746739124995656</t>
  </si>
  <si>
    <t>0.49016920709982514</t>
  </si>
  <si>
    <t>33.753863957943395</t>
  </si>
  <si>
    <t>33.747162832994945</t>
  </si>
  <si>
    <t>34.24491362494882</t>
  </si>
  <si>
    <t>34.24899879202712</t>
  </si>
  <si>
    <t>34.53171799995471</t>
  </si>
  <si>
    <t>35.14671041700058</t>
  </si>
  <si>
    <t>0.8909379160031676</t>
  </si>
  <si>
    <t>35.15368474996649</t>
  </si>
  <si>
    <t>35.14714837493375</t>
  </si>
  <si>
    <t>35.644718041992746</t>
  </si>
  <si>
    <t>35.649416625034064</t>
  </si>
  <si>
    <t>35.932032666984014</t>
  </si>
  <si>
    <t>36.38005566701759</t>
  </si>
  <si>
    <t>0.7220889569725841</t>
  </si>
  <si>
    <t>36.38739412499126</t>
  </si>
  <si>
    <t>36.38048187503591</t>
  </si>
  <si>
    <t>36.87794658297207</t>
  </si>
  <si>
    <t>36.88197350001428</t>
  </si>
  <si>
    <t>37.165300042019226</t>
  </si>
  <si>
    <t>37.480304250027984</t>
  </si>
  <si>
    <t>0.5909171239472926</t>
  </si>
  <si>
    <t>37.48797999997623</t>
  </si>
  <si>
    <t>37.48072120803408</t>
  </si>
  <si>
    <t>37.977926500025205</t>
  </si>
  <si>
    <t>37.98193570796866</t>
  </si>
  <si>
    <t>0.5750505409669131</t>
  </si>
  <si>
    <t>38.564108832972124</t>
  </si>
  <si>
    <t>39.06143683299888</t>
  </si>
  <si>
    <t>39.59673758293502</t>
  </si>
  <si>
    <t>39.60360779194161</t>
  </si>
  <si>
    <t>39.597111999988556</t>
  </si>
  <si>
    <t>40.09487604198512</t>
  </si>
  <si>
    <t>40.09899329196196</t>
  </si>
  <si>
    <t>40.38199245801661</t>
  </si>
  <si>
    <t>40.597605791990645</t>
  </si>
  <si>
    <t>0.48904841602779925</t>
  </si>
  <si>
    <t>40.60665516695008</t>
  </si>
  <si>
    <t>41.094902832992375</t>
  </si>
  <si>
    <t>41.09899587498512</t>
  </si>
  <si>
    <t>41.38257583300583</t>
  </si>
  <si>
    <t>41.980081207933836</t>
  </si>
  <si>
    <t>0.8709920409601182</t>
  </si>
  <si>
    <t>41.987476042006165</t>
  </si>
  <si>
    <t>41.98051858297549</t>
  </si>
  <si>
    <t>42.47840699995868</t>
  </si>
  <si>
    <t>42.48344595800154</t>
  </si>
  <si>
    <t>42.76559491700027</t>
  </si>
  <si>
    <t>43.01419608294964</t>
  </si>
  <si>
    <t>0.5298157080542296</t>
  </si>
  <si>
    <t>43.022125124931335</t>
  </si>
  <si>
    <t>43.01468795794062</t>
  </si>
  <si>
    <t>43.511906833038665</t>
  </si>
  <si>
    <t>43.516368167009205</t>
  </si>
  <si>
    <t>43.79873362497892</t>
  </si>
  <si>
    <t>0.5200272910296917</t>
  </si>
  <si>
    <t>44.04468445794191</t>
  </si>
  <si>
    <t>44.03448304196354</t>
  </si>
  <si>
    <t>44.83235591696575</t>
  </si>
  <si>
    <t>45.463618458015844</t>
  </si>
  <si>
    <t>0.9156578329857439</t>
  </si>
  <si>
    <t>45.47111883293837</t>
  </si>
  <si>
    <t>45.46405624994077</t>
  </si>
  <si>
    <t>45.96170812495984</t>
  </si>
  <si>
    <t>45.966699167038314</t>
  </si>
  <si>
    <t>46.24915345793124</t>
  </si>
  <si>
    <t>46.84663812501822</t>
  </si>
  <si>
    <t>0.8785065410193056</t>
  </si>
  <si>
    <t>46.85338424996007</t>
  </si>
  <si>
    <t>46.84698087500874</t>
  </si>
  <si>
    <t>47.34515341697261</t>
  </si>
  <si>
    <t>47.349534458015114</t>
  </si>
  <si>
    <t>47.63248304196168</t>
  </si>
  <si>
    <t>47.98017566697672</t>
  </si>
  <si>
    <t>0.6238677910296246</t>
  </si>
  <si>
    <t>47.98717037495226</t>
  </si>
  <si>
    <t>48.478463332983665</t>
  </si>
  <si>
    <t>48.48335929203313</t>
  </si>
  <si>
    <t>48.76588358299341</t>
  </si>
  <si>
    <t>49.06353899999522</t>
  </si>
  <si>
    <t>0.5755044569959864</t>
  </si>
  <si>
    <t>49.07093095802702</t>
  </si>
  <si>
    <t>49.06396770803258</t>
  </si>
  <si>
    <t>49.56171908299439</t>
  </si>
  <si>
    <t>49.84906208293978</t>
  </si>
  <si>
    <t>50.21729070798028</t>
  </si>
  <si>
    <t>0.6503539580153301</t>
  </si>
  <si>
    <t>50.22821900004055</t>
  </si>
  <si>
    <t>50.217648791964166</t>
  </si>
  <si>
    <t>50.71740337496158</t>
  </si>
  <si>
    <t>51.01190104195848</t>
  </si>
  <si>
    <t>51.65224570792634</t>
  </si>
  <si>
    <t>0.9286769570317119</t>
  </si>
  <si>
    <t>51.661235583014786</t>
  </si>
  <si>
    <t>51.65268612501677</t>
  </si>
  <si>
    <t>52.15025329194032</t>
  </si>
  <si>
    <t>52.449018624960445</t>
  </si>
  <si>
    <t>0.8910227079177275</t>
  </si>
  <si>
    <t>53.056155708036385</t>
  </si>
  <si>
    <t>53.048289166996256</t>
  </si>
  <si>
    <t>53.54958904196974</t>
  </si>
  <si>
    <t>53.832334083039314</t>
  </si>
  <si>
    <t>54.09788387501612</t>
  </si>
  <si>
    <t>0.5471367080463096</t>
  </si>
  <si>
    <t>54.106170832994394</t>
  </si>
  <si>
    <t>54.59540820796974</t>
  </si>
  <si>
    <t>54.60038237494882</t>
  </si>
  <si>
    <t>54.88252466695849</t>
  </si>
  <si>
    <t>55.264104292029515</t>
  </si>
  <si>
    <t>0.6608093740651384</t>
  </si>
  <si>
    <t>55.27245212497655</t>
  </si>
  <si>
    <t>55.26463666697964</t>
  </si>
  <si>
    <t>55.76194337499328</t>
  </si>
  <si>
    <t>55.76620633294806</t>
  </si>
  <si>
    <t>56.04924945801031</t>
  </si>
  <si>
    <t>56.430923916981556</t>
  </si>
  <si>
    <t>0.6623410830507055</t>
  </si>
  <si>
    <t>56.43840437498875</t>
  </si>
  <si>
    <t>56.43135129194707</t>
  </si>
  <si>
    <t>56.92866208299529</t>
  </si>
  <si>
    <t>56.93271579197608</t>
  </si>
  <si>
    <t>57.216017375001684</t>
  </si>
  <si>
    <t>57.401156374951825</t>
  </si>
  <si>
    <t>0.4684754160698503</t>
  </si>
  <si>
    <t>57.411763667012565</t>
  </si>
  <si>
    <t>57.401512125041336</t>
  </si>
  <si>
    <t>57.900810541934334</t>
  </si>
  <si>
    <t>58.19930179195944</t>
  </si>
  <si>
    <t>58.447398375021294</t>
  </si>
  <si>
    <t>0.5384462910005823</t>
  </si>
  <si>
    <t>58.454638082999736</t>
  </si>
  <si>
    <t>58.447821583016776</t>
  </si>
  <si>
    <t>58.94549516693223</t>
  </si>
  <si>
    <t>58.94984050001949</t>
  </si>
  <si>
    <t>59.232810667017475</t>
  </si>
  <si>
    <t>59.66809541697148</t>
  </si>
  <si>
    <t>0.7185532490257174</t>
  </si>
  <si>
    <t>59.67847433302086</t>
  </si>
  <si>
    <t>59.66847666702233</t>
  </si>
  <si>
    <t>60.16710187494755</t>
  </si>
  <si>
    <t>60.46218241692986</t>
  </si>
  <si>
    <t>0.7120147489476949</t>
  </si>
  <si>
    <t>60.884637458017096</t>
  </si>
  <si>
    <t>61.38370991696138</t>
  </si>
  <si>
    <t>62.11411500000395</t>
  </si>
  <si>
    <t>62.121341833029874</t>
  </si>
  <si>
    <t>62.11452924995683</t>
  </si>
  <si>
    <t>62.612169667030685</t>
  </si>
  <si>
    <t>62.617159832967445</t>
  </si>
  <si>
    <t>62.89948233298492</t>
  </si>
  <si>
    <t>63.18510250002146</t>
  </si>
  <si>
    <t>0.5679472079500556</t>
  </si>
  <si>
    <t>63.195257624960504</t>
  </si>
  <si>
    <t>63.18546524993144</t>
  </si>
  <si>
    <t>63.683318292023614</t>
  </si>
  <si>
    <t>63.97871745796874</t>
  </si>
  <si>
    <t>0.8828338739695027</t>
  </si>
  <si>
    <t>64.58744520798791</t>
  </si>
  <si>
    <t>65.07896962494124</t>
  </si>
  <si>
    <t>65.08402595797088</t>
  </si>
  <si>
    <t>65.88087337499019</t>
  </si>
  <si>
    <t>0.7911938319448382</t>
  </si>
  <si>
    <t>65.88820916693658</t>
  </si>
  <si>
    <t>65.88131095794961</t>
  </si>
  <si>
    <t>66.37890141701791</t>
  </si>
  <si>
    <t>66.38323520799167</t>
  </si>
  <si>
    <t>66.66626170801464</t>
  </si>
  <si>
    <t>67.14756766695064</t>
  </si>
  <si>
    <t>67.15493958303705</t>
  </si>
  <si>
    <t>67.14796400000341</t>
  </si>
  <si>
    <t>67.64567945792805</t>
  </si>
  <si>
    <t>67.64977499993984</t>
  </si>
  <si>
    <t>67.93303066701628</t>
  </si>
  <si>
    <t>68.71842962503433</t>
  </si>
  <si>
    <t>1.0695022080326453</t>
  </si>
  <si>
    <t>68.72878304193728</t>
  </si>
  <si>
    <t>69.21866937493905</t>
  </si>
  <si>
    <t>69.81501708296128</t>
  </si>
  <si>
    <t>0.5864948739763349</t>
  </si>
  <si>
    <t>69.82257650000975</t>
  </si>
  <si>
    <t>69.81553270795848</t>
  </si>
  <si>
    <t>70.31240979197901</t>
  </si>
  <si>
    <t>70.31738320796285</t>
  </si>
  <si>
    <t>70.59966883296147</t>
  </si>
  <si>
    <t>70.86432525003329</t>
  </si>
  <si>
    <t>0.5428290410200134</t>
  </si>
  <si>
    <t>70.87162254203577</t>
  </si>
  <si>
    <t>70.86478887498379</t>
  </si>
  <si>
    <t>71.36248000001069</t>
  </si>
  <si>
    <t>71.36654233303852</t>
  </si>
  <si>
    <t>71.64977416698821</t>
  </si>
  <si>
    <t>71.98090470803436</t>
  </si>
  <si>
    <t>0.6067122489912435</t>
  </si>
  <si>
    <t>71.98814575001597</t>
  </si>
  <si>
    <t>71.98132137500215</t>
  </si>
  <si>
    <t>72.47916445799638</t>
  </si>
  <si>
    <t>72.48331483302172</t>
  </si>
  <si>
    <t>72.76660137495492</t>
  </si>
  <si>
    <t>73.11442141700536</t>
  </si>
  <si>
    <t>0.6312759569846094</t>
  </si>
  <si>
    <t>73.12170016695745</t>
  </si>
  <si>
    <t>73.11481425003149</t>
  </si>
  <si>
    <t>73.61245937494095</t>
  </si>
  <si>
    <t>73.61627374996897</t>
  </si>
  <si>
    <t>0.8867083740187809</t>
  </si>
  <si>
    <t>74.51264974998776</t>
  </si>
  <si>
    <t>75.00112587492913</t>
  </si>
  <si>
    <t>75.29989137500525</t>
  </si>
  <si>
    <t>75.83127987501211</t>
  </si>
  <si>
    <t>0.8160222079604864</t>
  </si>
  <si>
    <t>75.83864891703706</t>
  </si>
  <si>
    <t>75.83170212502591</t>
  </si>
  <si>
    <t>76.32920304196887</t>
  </si>
  <si>
    <t>76.33300304203294</t>
  </si>
  <si>
    <t>76.61656074994244</t>
  </si>
  <si>
    <t>77.24791449995246</t>
  </si>
  <si>
    <t>0.9152564990799874</t>
  </si>
  <si>
    <t>77.25537354196422</t>
  </si>
  <si>
    <t>77.74592691694852</t>
  </si>
  <si>
    <t>77.75053554202896</t>
  </si>
  <si>
    <t>78.03330008301418</t>
  </si>
  <si>
    <t>78.33524579193909</t>
  </si>
  <si>
    <t>0.5862445820821449</t>
  </si>
  <si>
    <t>78.34570458298549</t>
  </si>
  <si>
    <t>78.33566141698975</t>
  </si>
  <si>
    <t>78.83429787494242</t>
  </si>
  <si>
    <t>79.13329720799811</t>
  </si>
  <si>
    <t>79.51527979201637</t>
  </si>
  <si>
    <t>0.6689677080139518</t>
  </si>
  <si>
    <t>79.52283516700845</t>
  </si>
  <si>
    <t>79.51580699998885</t>
  </si>
  <si>
    <t>80.01267904194538</t>
  </si>
  <si>
    <t>80.01678104198072</t>
  </si>
  <si>
    <t>80.30005466693547</t>
  </si>
  <si>
    <t>80.78543333301786</t>
  </si>
  <si>
    <t>0.7675105830421671</t>
  </si>
  <si>
    <t>80.79577370802872</t>
  </si>
  <si>
    <t>80.78578270797152</t>
  </si>
  <si>
    <t>81.28498170792591</t>
  </si>
  <si>
    <t>81.58326824998949</t>
  </si>
  <si>
    <t>82.28215454192832</t>
  </si>
  <si>
    <t>0.9863323329482228</t>
  </si>
  <si>
    <t>82.29011095792521</t>
  </si>
  <si>
    <t>82.28267383296043</t>
  </si>
  <si>
    <t>82.78344408294652</t>
  </si>
  <si>
    <t>83.36516708298586</t>
  </si>
  <si>
    <t>83.37273041694425</t>
  </si>
  <si>
    <t>83.36568124999758</t>
  </si>
  <si>
    <t>83.86290629196446</t>
  </si>
  <si>
    <t>83.86668729200028</t>
  </si>
  <si>
    <t>84.56464487500489</t>
  </si>
  <si>
    <t>0.6985744159901515</t>
  </si>
  <si>
    <t>84.57185895799194</t>
  </si>
  <si>
    <t>84.56504304194823</t>
  </si>
  <si>
    <t>85.06293579202611</t>
  </si>
  <si>
    <t>85.06701091700234</t>
  </si>
  <si>
    <t>85.34995283302851</t>
  </si>
  <si>
    <t>85.71935699996538</t>
  </si>
  <si>
    <t>0.6514577909838408</t>
  </si>
  <si>
    <t>85.72926912503317</t>
  </si>
  <si>
    <t>85.71975504199509</t>
  </si>
  <si>
    <t>86.21819820802193</t>
  </si>
  <si>
    <t>86.51293674996123</t>
  </si>
  <si>
    <t>86.71487095800694</t>
  </si>
  <si>
    <t>0.4882257910212502</t>
  </si>
  <si>
    <t>86.72190150001552</t>
  </si>
  <si>
    <t>87.21293475001585</t>
  </si>
  <si>
    <t>87.21703125000931</t>
  </si>
  <si>
    <t>87.50030179193709</t>
  </si>
  <si>
    <t>87.83487558295019</t>
  </si>
  <si>
    <t>0.6183529580011964</t>
  </si>
  <si>
    <t>87.84640308294911</t>
  </si>
  <si>
    <t>87.83522891695611</t>
  </si>
  <si>
    <t>88.33404158300254</t>
  </si>
  <si>
    <t>88.62973954202607</t>
  </si>
  <si>
    <t>88.89903979201335</t>
  </si>
  <si>
    <t>0.5523256659507751</t>
  </si>
  <si>
    <t>88.90665641694795</t>
  </si>
  <si>
    <t>88.89959408296272</t>
  </si>
  <si>
    <t>89.40018491703086</t>
  </si>
  <si>
    <t>89.68361129192635</t>
  </si>
  <si>
    <t>89.86938516702503</t>
  </si>
  <si>
    <t>0.47097391600254923</t>
  </si>
  <si>
    <t>89.87946570792701</t>
  </si>
  <si>
    <t>89.86981416703202</t>
  </si>
  <si>
    <t>90.36843537492678</t>
  </si>
  <si>
    <t>90.66322408302221</t>
  </si>
  <si>
    <t>90.93177329201717</t>
  </si>
  <si>
    <t>0.5529946250608191</t>
  </si>
  <si>
    <t>90.93892429198604</t>
  </si>
  <si>
    <t>90.93222345795948</t>
  </si>
  <si>
    <t>91.42967695801053</t>
  </si>
  <si>
    <t>91.43372537498362</t>
  </si>
  <si>
    <t>91.71718816703651</t>
  </si>
  <si>
    <t>92.29886191699188</t>
  </si>
  <si>
    <t>92.30641887499951</t>
  </si>
  <si>
    <t>92.29939245793503</t>
  </si>
  <si>
    <t>92.79645812499803</t>
  </si>
  <si>
    <t>93.08365633303765</t>
  </si>
  <si>
    <t>93.38538687501568</t>
  </si>
  <si>
    <t>0.5859536660136655</t>
  </si>
  <si>
    <t>93.39623375004157</t>
  </si>
  <si>
    <t>93.38574020797387</t>
  </si>
  <si>
    <t>93.88545974995941</t>
  </si>
  <si>
    <t>94.18373091693502</t>
  </si>
  <si>
    <t>94.54838425002526</t>
  </si>
  <si>
    <t>94.55587020795792</t>
  </si>
  <si>
    <t>94.54880604194477</t>
  </si>
  <si>
    <t>95.04645820800215</t>
  </si>
  <si>
    <t>95.05047087499406</t>
  </si>
  <si>
    <t>95.79857504193205</t>
  </si>
  <si>
    <t>0.7420212080469355</t>
  </si>
  <si>
    <t>95.80572375003248</t>
  </si>
  <si>
    <t>95.79898358299397</t>
  </si>
  <si>
    <t>96.29645050002728</t>
  </si>
  <si>
    <t>96.30047787493095</t>
  </si>
  <si>
    <t>96.81516666698735</t>
  </si>
  <si>
    <t>0.5060288329841569</t>
  </si>
  <si>
    <t>96.82237716694362</t>
  </si>
  <si>
    <t>96.81557924998924</t>
  </si>
  <si>
    <t>97.31321291695349</t>
  </si>
  <si>
    <t>97.31835808302276</t>
  </si>
  <si>
    <t>97.60094470798504</t>
  </si>
  <si>
    <t>97.83538895798847</t>
  </si>
  <si>
    <t>97.84640625002794</t>
  </si>
  <si>
    <t>97.83580066694412</t>
  </si>
  <si>
    <t>98.33469858299941</t>
  </si>
  <si>
    <t>98.62997024995275</t>
  </si>
  <si>
    <t>99.31571058300324</t>
  </si>
  <si>
    <t>0.9788020409177989</t>
  </si>
  <si>
    <t>99.32367583294399</t>
  </si>
  <si>
    <t>99.31621841702145</t>
  </si>
  <si>
    <t>99.81766974995844</t>
  </si>
  <si>
    <t>100.10049766697921</t>
  </si>
  <si>
    <t>100.51958783296868</t>
  </si>
  <si>
    <t>0.7040614580037072</t>
  </si>
  <si>
    <t>100.52976958302315</t>
  </si>
  <si>
    <t>100.52000150003005</t>
  </si>
  <si>
    <t>101.01861529203597</t>
  </si>
  <si>
    <t>101.31730445800349</t>
  </si>
  <si>
    <t>101.93563887500204</t>
  </si>
  <si>
    <t>0.9118929160758853</t>
  </si>
  <si>
    <t>101.94647774996702</t>
  </si>
  <si>
    <t>101.93599554197863</t>
  </si>
  <si>
    <t>102.43452870799229</t>
  </si>
  <si>
    <t>102.73022925003897</t>
  </si>
  <si>
    <t>103.53213670803234</t>
  </si>
  <si>
    <t>1.087852373952046</t>
  </si>
  <si>
    <t>103.53911241702735</t>
  </si>
  <si>
    <t>103.53258504194673</t>
  </si>
  <si>
    <t>104.03020833292976</t>
  </si>
  <si>
    <t>104.03418808302376</t>
  </si>
  <si>
    <t>104.31724033295177</t>
  </si>
  <si>
    <t>105.14859787502792</t>
  </si>
  <si>
    <t>1.113647458027117</t>
  </si>
  <si>
    <t>105.15611400001217</t>
  </si>
  <si>
    <t>105.14894074993208</t>
  </si>
  <si>
    <t>105.64697324996814</t>
  </si>
  <si>
    <t>105.65131674997974</t>
  </si>
  <si>
    <t>105.93424808303826</t>
  </si>
  <si>
    <t>106.66907591698691</t>
  </si>
  <si>
    <t>1.0175225409911945</t>
  </si>
  <si>
    <t>106.6799641669495</t>
  </si>
  <si>
    <t>106.66942695796024</t>
  </si>
  <si>
    <t>107.16899775003549</t>
  </si>
  <si>
    <t>107.46370012499392</t>
  </si>
  <si>
    <t>107.7661737499293</t>
  </si>
  <si>
    <t>107.7736578329932</t>
  </si>
  <si>
    <t>107.76669258298352</t>
  </si>
  <si>
    <t>108.26366516703274</t>
  </si>
  <si>
    <t>108.26740629202686</t>
  </si>
  <si>
    <t>108.55073383299168</t>
  </si>
  <si>
    <t>0.5429912910331041</t>
  </si>
  <si>
    <t>108.8242173329927</t>
  </si>
  <si>
    <t>108.81669637502637</t>
  </si>
  <si>
    <t>109.31367674993817</t>
  </si>
  <si>
    <t>109.31774208298884</t>
  </si>
  <si>
    <t>109.6011272079777</t>
  </si>
  <si>
    <t>109.74964941700455</t>
  </si>
  <si>
    <t>0.4239027069415897</t>
  </si>
  <si>
    <t>109.75744404201396</t>
  </si>
  <si>
    <t>109.7502019579988</t>
  </si>
  <si>
    <t>110.24715429195203</t>
  </si>
  <si>
    <t>110.25129183300305</t>
  </si>
  <si>
    <t>110.53521795803681</t>
  </si>
  <si>
    <t>110.9490114999935</t>
  </si>
  <si>
    <t>0.6995008739177138</t>
  </si>
  <si>
    <t>110.95640641695354</t>
  </si>
  <si>
    <t>110.94938954198733</t>
  </si>
  <si>
    <t>111.45130312500987</t>
  </si>
  <si>
    <t>111.73525516700465</t>
  </si>
  <si>
    <t>112.06628708296921</t>
  </si>
  <si>
    <t>0.6166581240249798</t>
  </si>
  <si>
    <t>112.07366229197942</t>
  </si>
  <si>
    <t>112.06678058300167</t>
  </si>
  <si>
    <t>112.56371629203204</t>
  </si>
  <si>
    <t>112.56748758303002</t>
  </si>
  <si>
    <t>112.85106812498998</t>
  </si>
  <si>
    <t>113.16580266703386</t>
  </si>
  <si>
    <t>0.5919068319490179</t>
  </si>
  <si>
    <t>113.17294216703158</t>
  </si>
  <si>
    <t>113.16623370803427</t>
  </si>
  <si>
    <t>113.66390637494624</t>
  </si>
  <si>
    <t>113.66812929196749</t>
  </si>
  <si>
    <t>113.95098258298822</t>
  </si>
  <si>
    <t>114.21655529201962</t>
  </si>
  <si>
    <t>0.5479184159776196</t>
  </si>
  <si>
    <t>114.22419179196004</t>
  </si>
  <si>
    <t>114.21705808292609</t>
  </si>
  <si>
    <t>114.71390120801516</t>
  </si>
  <si>
    <t>114.71798137493897</t>
  </si>
  <si>
    <t>115.00131495797541</t>
  </si>
  <si>
    <t>115.3832596669672</t>
  </si>
  <si>
    <t>0.6556620409246534</t>
  </si>
  <si>
    <t>115.39092970802449</t>
  </si>
  <si>
    <t>115.38379441702273</t>
  </si>
  <si>
    <t>115.88068299996667</t>
  </si>
  <si>
    <t>115.88490062498022</t>
  </si>
  <si>
    <t>116.16774491698015</t>
  </si>
  <si>
    <t>117.09994716697838</t>
  </si>
  <si>
    <t>1.2142335410462692</t>
  </si>
  <si>
    <t>117.10768975003157</t>
  </si>
  <si>
    <t>117.10034129198175</t>
  </si>
  <si>
    <t>117.59719100000802</t>
  </si>
  <si>
    <t>117.60122137493454</t>
  </si>
  <si>
    <t>117.88464937498793</t>
  </si>
  <si>
    <t>118.19919170800131</t>
  </si>
  <si>
    <t>0.5986486239125952</t>
  </si>
  <si>
    <t>118.20664874999784</t>
  </si>
  <si>
    <t>118.19958120794035</t>
  </si>
  <si>
    <t>118.69740425003693</t>
  </si>
  <si>
    <t>118.70110824995209</t>
  </si>
  <si>
    <t>118.98422045796178</t>
  </si>
  <si>
    <t>119.78714354196563</t>
  </si>
  <si>
    <t>1.086290081962943</t>
  </si>
  <si>
    <t>119.79719554202165</t>
  </si>
  <si>
    <t>119.7875563330017</t>
  </si>
  <si>
    <t>120.2850897499593</t>
  </si>
  <si>
    <t>120.58072962495498</t>
  </si>
  <si>
    <t>120.97025174996816</t>
  </si>
  <si>
    <t>120.98033920803573</t>
  </si>
  <si>
    <t>120.97066875000019</t>
  </si>
  <si>
    <t>121.47013720800169</t>
  </si>
  <si>
    <t>121.76806587493047</t>
  </si>
  <si>
    <t>121.81650479196105</t>
  </si>
  <si>
    <t>0.3388115830020979</t>
  </si>
  <si>
    <t>121.82392958295532</t>
  </si>
  <si>
    <t>121.8170202919282</t>
  </si>
  <si>
    <t>122.3141290829517</t>
  </si>
  <si>
    <t>122.31823237496428</t>
  </si>
  <si>
    <t>122.60115658293944</t>
  </si>
  <si>
    <t>122.74958391697146</t>
  </si>
  <si>
    <t>0.42140229092910886</t>
  </si>
  <si>
    <t>122.74990583292674</t>
  </si>
  <si>
    <t>122.75931754196063</t>
  </si>
  <si>
    <t>124.75091504200827</t>
  </si>
  <si>
    <t>124.74794441694394</t>
  </si>
  <si>
    <t>number of trial</t>
  </si>
  <si>
    <t>absolute diff threshold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</si>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</sst>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9" tint="-0.24997711111789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4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800" b="1" u="sng">
                <a:latin typeface="Angsana New" panose="02020603050405020304" pitchFamily="18" charset="-34"/>
                <a:cs typeface="Angsana New" panose="02020603050405020304" pitchFamily="18" charset="-34"/>
              </a:rPr>
              <a:t>Tilt of Grating across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Calculations!$B$1</c:f>
              <c:strCache>
                <c:ptCount val="1"/>
                <c:pt idx="0">
                  <c:v>tilt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Calculations!$B$2:$B$101</c:f>
              <c:numCache>
                <c:formatCode>General</c:formatCode>
                <c:ptCount val="100"/>
                <c:pt idx="0">
                  <c:v>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-1</c:v>
                </c:pt>
                <c:pt idx="11">
                  <c:v>-1</c:v>
                </c:pt>
                <c:pt idx="12">
                  <c:v>1</c:v>
                </c:pt>
                <c:pt idx="13">
                  <c:v>-1</c:v>
                </c:pt>
                <c:pt idx="14">
                  <c:v>-2.5</c:v>
                </c:pt>
                <c:pt idx="15">
                  <c:v>4</c:v>
                </c:pt>
                <c:pt idx="16">
                  <c:v>-4</c:v>
                </c:pt>
                <c:pt idx="17">
                  <c:v>4</c:v>
                </c:pt>
                <c:pt idx="18">
                  <c:v>-3</c:v>
                </c:pt>
                <c:pt idx="19">
                  <c:v>3</c:v>
                </c:pt>
                <c:pt idx="20">
                  <c:v>-3</c:v>
                </c:pt>
                <c:pt idx="21">
                  <c:v>2</c:v>
                </c:pt>
                <c:pt idx="22">
                  <c:v>-2</c:v>
                </c:pt>
                <c:pt idx="23">
                  <c:v>-2</c:v>
                </c:pt>
                <c:pt idx="24">
                  <c:v>-1</c:v>
                </c:pt>
                <c:pt idx="25">
                  <c:v>-1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1</c:v>
                </c:pt>
                <c:pt idx="43">
                  <c:v>1</c:v>
                </c:pt>
                <c:pt idx="44">
                  <c:v>-1</c:v>
                </c:pt>
                <c:pt idx="45">
                  <c:v>1.5</c:v>
                </c:pt>
                <c:pt idx="46">
                  <c:v>1.5</c:v>
                </c:pt>
                <c:pt idx="47">
                  <c:v>-1.5</c:v>
                </c:pt>
                <c:pt idx="48">
                  <c:v>-1</c:v>
                </c:pt>
                <c:pt idx="49">
                  <c:v>-1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-1</c:v>
                </c:pt>
                <c:pt idx="60">
                  <c:v>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1</c:v>
                </c:pt>
                <c:pt idx="66">
                  <c:v>-1</c:v>
                </c:pt>
                <c:pt idx="67">
                  <c:v>1</c:v>
                </c:pt>
                <c:pt idx="68">
                  <c:v>-1</c:v>
                </c:pt>
                <c:pt idx="69">
                  <c:v>1</c:v>
                </c:pt>
                <c:pt idx="70">
                  <c:v>-1</c:v>
                </c:pt>
                <c:pt idx="71">
                  <c:v>1</c:v>
                </c:pt>
                <c:pt idx="72">
                  <c:v>1.5</c:v>
                </c:pt>
                <c:pt idx="73">
                  <c:v>2</c:v>
                </c:pt>
                <c:pt idx="74">
                  <c:v>-2</c:v>
                </c:pt>
                <c:pt idx="75">
                  <c:v>-2</c:v>
                </c:pt>
                <c:pt idx="76">
                  <c:v>1.5</c:v>
                </c:pt>
                <c:pt idx="77">
                  <c:v>-1.5</c:v>
                </c:pt>
                <c:pt idx="78">
                  <c:v>1.5</c:v>
                </c:pt>
                <c:pt idx="79">
                  <c:v>1</c:v>
                </c:pt>
                <c:pt idx="80">
                  <c:v>-1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-1</c:v>
                </c:pt>
                <c:pt idx="85">
                  <c:v>-1.5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-1.5</c:v>
                </c:pt>
                <c:pt idx="90">
                  <c:v>1.5</c:v>
                </c:pt>
                <c:pt idx="91">
                  <c:v>-1.5</c:v>
                </c:pt>
                <c:pt idx="92">
                  <c:v>-1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74-B84B-A619-0473A4C15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5925759"/>
        <c:axId val="1914507887"/>
      </c:lineChart>
      <c:catAx>
        <c:axId val="1465925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GB" sz="1800" b="1">
                    <a:latin typeface="Angsana New" panose="02020603050405020304" pitchFamily="18" charset="-34"/>
                    <a:cs typeface="Angsana New" panose="02020603050405020304" pitchFamily="18" charset="-34"/>
                  </a:rPr>
                  <a:t>Number of Trial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en-US"/>
          </a:p>
        </c:txPr>
        <c:crossAx val="1914507887"/>
        <c:crosses val="autoZero"/>
        <c:auto val="1"/>
        <c:lblAlgn val="ctr"/>
        <c:lblOffset val="100"/>
        <c:noMultiLvlLbl val="0"/>
      </c:catAx>
      <c:valAx>
        <c:axId val="191450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GB" sz="1800" b="1">
                    <a:latin typeface="Angsana New" panose="02020603050405020304" pitchFamily="18" charset="-34"/>
                    <a:cs typeface="Angsana New" panose="02020603050405020304" pitchFamily="18" charset="-34"/>
                  </a:rPr>
                  <a:t>Tilt</a:t>
                </a:r>
              </a:p>
              <a:p>
                <a:pPr>
                  <a:defRPr sz="1800" b="1">
                    <a:latin typeface="Angsana New" panose="02020603050405020304" pitchFamily="18" charset="-34"/>
                    <a:cs typeface="Angsana New" panose="02020603050405020304" pitchFamily="18" charset="-34"/>
                  </a:defRPr>
                </a:pPr>
                <a:r>
                  <a:rPr lang="en-GB" sz="1800" b="1">
                    <a:latin typeface="Angsana New" panose="02020603050405020304" pitchFamily="18" charset="-34"/>
                    <a:cs typeface="Angsana New" panose="02020603050405020304" pitchFamily="18" charset="-34"/>
                  </a:rPr>
                  <a:t>- = left tilt, + = right tilt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en-US"/>
          </a:p>
        </c:txPr>
        <c:crossAx val="1465925759"/>
        <c:crossesAt val="0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GB" sz="2800" b="1" u="sng">
                <a:latin typeface="Angsana New" panose="02020603050405020304" pitchFamily="18" charset="-34"/>
                <a:cs typeface="Angsana New" panose="02020603050405020304" pitchFamily="18" charset="-34"/>
              </a:rPr>
              <a:t>Response Accuracy Over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Calculations!$C$1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Calculations!$C$2:$C$101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F3-C942-8629-C1D179858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238128"/>
        <c:axId val="1914659743"/>
      </c:lineChart>
      <c:catAx>
        <c:axId val="439238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GB" sz="1800" b="1">
                    <a:latin typeface="Angsana New" panose="02020603050405020304" pitchFamily="18" charset="-34"/>
                    <a:cs typeface="Angsana New" panose="02020603050405020304" pitchFamily="18" charset="-34"/>
                  </a:rPr>
                  <a:t>Number of Trial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en-US"/>
          </a:p>
        </c:txPr>
        <c:crossAx val="1914659743"/>
        <c:crosses val="autoZero"/>
        <c:auto val="1"/>
        <c:lblAlgn val="ctr"/>
        <c:lblOffset val="100"/>
        <c:noMultiLvlLbl val="0"/>
      </c:catAx>
      <c:valAx>
        <c:axId val="191465974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GB" sz="1800" b="1">
                    <a:latin typeface="Angsana New" panose="02020603050405020304" pitchFamily="18" charset="-34"/>
                    <a:cs typeface="Angsana New" panose="02020603050405020304" pitchFamily="18" charset="-34"/>
                  </a:rPr>
                  <a:t>Response Accuracy</a:t>
                </a:r>
              </a:p>
              <a:p>
                <a:pPr>
                  <a:defRPr sz="1800" b="1">
                    <a:latin typeface="Angsana New" panose="02020603050405020304" pitchFamily="18" charset="-34"/>
                    <a:cs typeface="Angsana New" panose="02020603050405020304" pitchFamily="18" charset="-34"/>
                  </a:defRPr>
                </a:pPr>
                <a:r>
                  <a:rPr lang="en-GB" sz="1800" b="1">
                    <a:latin typeface="Angsana New" panose="02020603050405020304" pitchFamily="18" charset="-34"/>
                    <a:cs typeface="Angsana New" panose="02020603050405020304" pitchFamily="18" charset="-34"/>
                  </a:rPr>
                  <a:t>Correct - 1, Incorrect - 0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en-US"/>
          </a:p>
        </c:txPr>
        <c:crossAx val="43923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431800</xdr:colOff>
      <xdr:row>1</xdr:row>
      <xdr:rowOff>25400</xdr:rowOff>
    </xdr:from>
    <xdr:to>
      <xdr:col>17</xdr:col>
      <xdr:colOff>381000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3E285-6628-770A-8466-E059649ED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450850</xdr:colOff>
      <xdr:row>24</xdr:row>
      <xdr:rowOff>19050</xdr:rowOff>
    </xdr:from>
    <xdr:to>
      <xdr:col>17</xdr:col>
      <xdr:colOff>406400</xdr:colOff>
      <xdr:row>44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993EDA-525F-7F6C-864A-6A683CECF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3"/>
  <sheetViews>
    <sheetView workbookViewId="0">
      <selection activeCell="R1" sqref="R1:R1048576"/>
    </sheetView>
  </sheetViews>
  <sheetFormatPr baseColWidth="10" defaultRowHeight="16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F2">
        <v>2.9097920050844498E-3</v>
      </c>
      <c r="G2">
        <v>5.1216457970440298E-2</v>
      </c>
      <c r="H2" s="1" t="s">
        <v>32</v>
      </c>
      <c r="Y2">
        <v>414938</v>
      </c>
      <c r="Z2" s="1" t="s">
        <v>33</v>
      </c>
      <c r="AA2" t="s">
        <v>34</v>
      </c>
      <c r="AB2" t="s">
        <v>35</v>
      </c>
      <c r="AD2" t="s">
        <v>36</v>
      </c>
      <c r="AE2" t="s">
        <v>37</v>
      </c>
      <c r="AF2" t="s">
        <v>38</v>
      </c>
    </row>
    <row r="3" spans="1:32" x14ac:dyDescent="0.2">
      <c r="A3">
        <v>0</v>
      </c>
      <c r="B3">
        <v>2</v>
      </c>
      <c r="C3">
        <v>10</v>
      </c>
      <c r="D3" s="1" t="s">
        <v>39</v>
      </c>
      <c r="I3" s="1" t="s">
        <v>40</v>
      </c>
      <c r="J3" s="1" t="s">
        <v>39</v>
      </c>
      <c r="K3" s="1" t="s">
        <v>41</v>
      </c>
      <c r="L3" s="1" t="s">
        <v>41</v>
      </c>
      <c r="M3" s="1" t="s">
        <v>42</v>
      </c>
      <c r="N3" s="1" t="s">
        <v>43</v>
      </c>
      <c r="O3" s="1" t="s">
        <v>44</v>
      </c>
      <c r="P3" t="s">
        <v>45</v>
      </c>
      <c r="Q3">
        <v>10</v>
      </c>
      <c r="R3">
        <v>1</v>
      </c>
      <c r="S3">
        <v>1</v>
      </c>
      <c r="T3" s="1" t="s">
        <v>46</v>
      </c>
      <c r="Y3">
        <v>414938</v>
      </c>
      <c r="Z3" s="1" t="s">
        <v>33</v>
      </c>
      <c r="AA3" t="s">
        <v>34</v>
      </c>
      <c r="AB3" t="s">
        <v>35</v>
      </c>
      <c r="AD3" t="s">
        <v>36</v>
      </c>
      <c r="AE3" t="s">
        <v>37</v>
      </c>
      <c r="AF3" t="s">
        <v>38</v>
      </c>
    </row>
    <row r="4" spans="1:32" x14ac:dyDescent="0.2">
      <c r="A4">
        <v>1</v>
      </c>
      <c r="B4">
        <v>2</v>
      </c>
      <c r="C4">
        <v>8</v>
      </c>
      <c r="D4" s="1" t="s">
        <v>47</v>
      </c>
      <c r="I4" s="1" t="s">
        <v>48</v>
      </c>
      <c r="J4" s="1" t="s">
        <v>47</v>
      </c>
      <c r="K4" s="1" t="s">
        <v>49</v>
      </c>
      <c r="L4" s="1" t="s">
        <v>49</v>
      </c>
      <c r="M4" s="1" t="s">
        <v>50</v>
      </c>
      <c r="N4" s="1" t="s">
        <v>51</v>
      </c>
      <c r="O4" s="1" t="s">
        <v>52</v>
      </c>
      <c r="P4" t="s">
        <v>53</v>
      </c>
      <c r="Q4">
        <v>-8</v>
      </c>
      <c r="R4">
        <v>1</v>
      </c>
      <c r="S4">
        <v>1</v>
      </c>
      <c r="T4" s="1" t="s">
        <v>54</v>
      </c>
      <c r="Y4">
        <v>414938</v>
      </c>
      <c r="Z4" s="1" t="s">
        <v>33</v>
      </c>
      <c r="AA4" t="s">
        <v>34</v>
      </c>
      <c r="AB4" t="s">
        <v>35</v>
      </c>
      <c r="AD4" t="s">
        <v>36</v>
      </c>
      <c r="AE4" t="s">
        <v>37</v>
      </c>
      <c r="AF4" t="s">
        <v>38</v>
      </c>
    </row>
    <row r="5" spans="1:32" x14ac:dyDescent="0.2">
      <c r="A5">
        <v>2</v>
      </c>
      <c r="B5">
        <v>2</v>
      </c>
      <c r="C5">
        <v>6</v>
      </c>
      <c r="D5" s="1" t="s">
        <v>55</v>
      </c>
      <c r="I5" s="1" t="s">
        <v>56</v>
      </c>
      <c r="J5" s="1" t="s">
        <v>55</v>
      </c>
      <c r="K5" s="1" t="s">
        <v>57</v>
      </c>
      <c r="L5" s="1" t="s">
        <v>57</v>
      </c>
      <c r="M5" s="1" t="s">
        <v>58</v>
      </c>
      <c r="N5" s="1" t="s">
        <v>59</v>
      </c>
      <c r="O5" s="1" t="s">
        <v>60</v>
      </c>
      <c r="P5" t="s">
        <v>53</v>
      </c>
      <c r="Q5">
        <v>-6</v>
      </c>
      <c r="R5">
        <v>1</v>
      </c>
      <c r="S5">
        <v>1</v>
      </c>
      <c r="T5" s="1" t="s">
        <v>61</v>
      </c>
      <c r="Y5">
        <v>414938</v>
      </c>
      <c r="Z5" s="1" t="s">
        <v>33</v>
      </c>
      <c r="AA5" t="s">
        <v>34</v>
      </c>
      <c r="AB5" t="s">
        <v>35</v>
      </c>
      <c r="AD5" t="s">
        <v>36</v>
      </c>
      <c r="AE5" t="s">
        <v>37</v>
      </c>
      <c r="AF5" t="s">
        <v>38</v>
      </c>
    </row>
    <row r="6" spans="1:32" x14ac:dyDescent="0.2">
      <c r="A6">
        <v>3</v>
      </c>
      <c r="B6">
        <v>2</v>
      </c>
      <c r="C6">
        <v>4</v>
      </c>
      <c r="D6" s="1" t="s">
        <v>62</v>
      </c>
      <c r="I6" s="1" t="s">
        <v>63</v>
      </c>
      <c r="J6" s="1" t="s">
        <v>62</v>
      </c>
      <c r="K6" s="1" t="s">
        <v>64</v>
      </c>
      <c r="L6" s="1" t="s">
        <v>64</v>
      </c>
      <c r="M6">
        <v>6.8604258749401197</v>
      </c>
      <c r="N6" s="1" t="s">
        <v>65</v>
      </c>
      <c r="O6" s="1" t="s">
        <v>66</v>
      </c>
      <c r="P6" t="s">
        <v>53</v>
      </c>
      <c r="Q6">
        <v>-4</v>
      </c>
      <c r="R6">
        <v>1</v>
      </c>
      <c r="S6">
        <v>1</v>
      </c>
      <c r="T6" s="1" t="s">
        <v>67</v>
      </c>
      <c r="Y6">
        <v>414938</v>
      </c>
      <c r="Z6" s="1" t="s">
        <v>33</v>
      </c>
      <c r="AA6" t="s">
        <v>34</v>
      </c>
      <c r="AB6" t="s">
        <v>35</v>
      </c>
      <c r="AD6" t="s">
        <v>36</v>
      </c>
      <c r="AE6" t="s">
        <v>37</v>
      </c>
      <c r="AF6" t="s">
        <v>38</v>
      </c>
    </row>
    <row r="7" spans="1:32" x14ac:dyDescent="0.2">
      <c r="A7">
        <v>4</v>
      </c>
      <c r="B7">
        <v>2</v>
      </c>
      <c r="C7">
        <v>2</v>
      </c>
      <c r="D7" s="1" t="s">
        <v>68</v>
      </c>
      <c r="I7" s="1" t="s">
        <v>69</v>
      </c>
      <c r="J7" s="1" t="s">
        <v>68</v>
      </c>
      <c r="K7">
        <v>8.0772205829853192</v>
      </c>
      <c r="L7">
        <v>8.0772205829853192</v>
      </c>
      <c r="M7" s="1" t="s">
        <v>70</v>
      </c>
      <c r="N7" s="1" t="s">
        <v>71</v>
      </c>
      <c r="O7">
        <v>8.5489412079332396</v>
      </c>
      <c r="P7" t="s">
        <v>45</v>
      </c>
      <c r="Q7">
        <v>2</v>
      </c>
      <c r="R7">
        <v>1</v>
      </c>
      <c r="S7">
        <v>1</v>
      </c>
      <c r="T7" s="1" t="s">
        <v>72</v>
      </c>
      <c r="Y7">
        <v>414938</v>
      </c>
      <c r="Z7" s="1" t="s">
        <v>33</v>
      </c>
      <c r="AA7" t="s">
        <v>34</v>
      </c>
      <c r="AB7" t="s">
        <v>35</v>
      </c>
      <c r="AD7" t="s">
        <v>36</v>
      </c>
      <c r="AE7" t="s">
        <v>37</v>
      </c>
      <c r="AF7" t="s">
        <v>38</v>
      </c>
    </row>
    <row r="8" spans="1:32" x14ac:dyDescent="0.2">
      <c r="A8">
        <v>5</v>
      </c>
      <c r="B8">
        <v>2</v>
      </c>
      <c r="C8">
        <v>1</v>
      </c>
      <c r="D8" s="1" t="s">
        <v>73</v>
      </c>
      <c r="I8" s="1" t="s">
        <v>74</v>
      </c>
      <c r="J8" s="1" t="s">
        <v>73</v>
      </c>
      <c r="K8" s="1" t="s">
        <v>75</v>
      </c>
      <c r="L8" s="1" t="s">
        <v>75</v>
      </c>
      <c r="M8" s="1" t="s">
        <v>76</v>
      </c>
      <c r="N8" s="1" t="s">
        <v>77</v>
      </c>
      <c r="O8" s="1" t="s">
        <v>78</v>
      </c>
      <c r="P8" t="s">
        <v>45</v>
      </c>
      <c r="Q8">
        <v>1</v>
      </c>
      <c r="R8">
        <v>1</v>
      </c>
      <c r="S8">
        <v>1</v>
      </c>
      <c r="T8" s="1" t="s">
        <v>79</v>
      </c>
      <c r="Y8">
        <v>414938</v>
      </c>
      <c r="Z8" s="1" t="s">
        <v>33</v>
      </c>
      <c r="AA8" t="s">
        <v>34</v>
      </c>
      <c r="AB8" t="s">
        <v>35</v>
      </c>
      <c r="AD8" t="s">
        <v>36</v>
      </c>
      <c r="AE8" t="s">
        <v>37</v>
      </c>
      <c r="AF8" t="s">
        <v>38</v>
      </c>
    </row>
    <row r="9" spans="1:32" x14ac:dyDescent="0.2">
      <c r="A9">
        <v>6</v>
      </c>
      <c r="B9">
        <v>2</v>
      </c>
      <c r="C9">
        <v>1</v>
      </c>
      <c r="D9" s="1" t="s">
        <v>80</v>
      </c>
      <c r="I9" s="1" t="s">
        <v>81</v>
      </c>
      <c r="J9" s="1" t="s">
        <v>80</v>
      </c>
      <c r="K9" s="1" t="s">
        <v>82</v>
      </c>
      <c r="L9" s="1" t="s">
        <v>82</v>
      </c>
      <c r="M9" s="1" t="s">
        <v>82</v>
      </c>
      <c r="N9" s="1" t="s">
        <v>83</v>
      </c>
      <c r="O9" s="1" t="s">
        <v>84</v>
      </c>
      <c r="P9" t="s">
        <v>45</v>
      </c>
      <c r="Q9">
        <v>1</v>
      </c>
      <c r="R9">
        <v>1</v>
      </c>
      <c r="S9">
        <v>1</v>
      </c>
      <c r="T9" s="1" t="s">
        <v>85</v>
      </c>
      <c r="Y9">
        <v>414938</v>
      </c>
      <c r="Z9" s="1" t="s">
        <v>33</v>
      </c>
      <c r="AA9" t="s">
        <v>34</v>
      </c>
      <c r="AB9" t="s">
        <v>35</v>
      </c>
      <c r="AD9" t="s">
        <v>36</v>
      </c>
      <c r="AE9" t="s">
        <v>37</v>
      </c>
      <c r="AF9" t="s">
        <v>38</v>
      </c>
    </row>
    <row r="10" spans="1:32" x14ac:dyDescent="0.2">
      <c r="A10">
        <v>7</v>
      </c>
      <c r="B10">
        <v>2</v>
      </c>
      <c r="C10">
        <v>1</v>
      </c>
      <c r="D10" s="1" t="s">
        <v>86</v>
      </c>
      <c r="I10" s="1" t="s">
        <v>87</v>
      </c>
      <c r="J10" s="1" t="s">
        <v>86</v>
      </c>
      <c r="K10" s="1" t="s">
        <v>88</v>
      </c>
      <c r="L10" s="1" t="s">
        <v>88</v>
      </c>
      <c r="M10" s="1" t="s">
        <v>89</v>
      </c>
      <c r="N10" s="1" t="s">
        <v>90</v>
      </c>
      <c r="O10" s="1" t="s">
        <v>91</v>
      </c>
      <c r="P10" t="s">
        <v>53</v>
      </c>
      <c r="Q10">
        <v>-1</v>
      </c>
      <c r="R10">
        <v>1</v>
      </c>
      <c r="S10">
        <v>1</v>
      </c>
      <c r="T10" s="1" t="s">
        <v>92</v>
      </c>
      <c r="Y10">
        <v>414938</v>
      </c>
      <c r="Z10" s="1" t="s">
        <v>33</v>
      </c>
      <c r="AA10" t="s">
        <v>34</v>
      </c>
      <c r="AB10" t="s">
        <v>35</v>
      </c>
      <c r="AD10" t="s">
        <v>36</v>
      </c>
      <c r="AE10" t="s">
        <v>37</v>
      </c>
      <c r="AF10" t="s">
        <v>38</v>
      </c>
    </row>
    <row r="11" spans="1:32" x14ac:dyDescent="0.2">
      <c r="A11">
        <v>8</v>
      </c>
      <c r="B11">
        <v>2</v>
      </c>
      <c r="C11">
        <v>1</v>
      </c>
      <c r="D11" s="1" t="s">
        <v>93</v>
      </c>
      <c r="I11" s="1" t="s">
        <v>94</v>
      </c>
      <c r="J11" s="1" t="s">
        <v>93</v>
      </c>
      <c r="K11" s="1" t="s">
        <v>95</v>
      </c>
      <c r="L11" s="1" t="s">
        <v>95</v>
      </c>
      <c r="M11" s="1" t="s">
        <v>96</v>
      </c>
      <c r="N11" s="1" t="s">
        <v>97</v>
      </c>
      <c r="O11" s="1" t="s">
        <v>98</v>
      </c>
      <c r="P11" t="s">
        <v>53</v>
      </c>
      <c r="Q11">
        <v>-1</v>
      </c>
      <c r="R11">
        <v>1</v>
      </c>
      <c r="S11">
        <v>1</v>
      </c>
      <c r="T11" s="1" t="s">
        <v>99</v>
      </c>
      <c r="Y11">
        <v>414938</v>
      </c>
      <c r="Z11" s="1" t="s">
        <v>33</v>
      </c>
      <c r="AA11" t="s">
        <v>34</v>
      </c>
      <c r="AB11" t="s">
        <v>35</v>
      </c>
      <c r="AD11" t="s">
        <v>36</v>
      </c>
      <c r="AE11" t="s">
        <v>37</v>
      </c>
      <c r="AF11" t="s">
        <v>38</v>
      </c>
    </row>
    <row r="12" spans="1:32" x14ac:dyDescent="0.2">
      <c r="A12">
        <v>9</v>
      </c>
      <c r="B12">
        <v>2</v>
      </c>
      <c r="C12">
        <v>1</v>
      </c>
      <c r="D12" s="1" t="s">
        <v>100</v>
      </c>
      <c r="I12" s="1" t="s">
        <v>101</v>
      </c>
      <c r="J12" s="1" t="s">
        <v>100</v>
      </c>
      <c r="K12" s="1" t="s">
        <v>102</v>
      </c>
      <c r="L12" s="1" t="s">
        <v>102</v>
      </c>
      <c r="M12" s="1" t="s">
        <v>103</v>
      </c>
      <c r="N12" s="1" t="s">
        <v>104</v>
      </c>
      <c r="O12" s="1" t="s">
        <v>105</v>
      </c>
      <c r="P12" t="s">
        <v>45</v>
      </c>
      <c r="Q12">
        <v>1</v>
      </c>
      <c r="R12">
        <v>1</v>
      </c>
      <c r="S12">
        <v>1</v>
      </c>
      <c r="T12" s="1" t="s">
        <v>106</v>
      </c>
      <c r="Y12">
        <v>414938</v>
      </c>
      <c r="Z12" s="1" t="s">
        <v>33</v>
      </c>
      <c r="AA12" t="s">
        <v>34</v>
      </c>
      <c r="AB12" t="s">
        <v>35</v>
      </c>
      <c r="AD12" t="s">
        <v>36</v>
      </c>
      <c r="AE12" t="s">
        <v>37</v>
      </c>
      <c r="AF12" t="s">
        <v>38</v>
      </c>
    </row>
    <row r="13" spans="1:32" x14ac:dyDescent="0.2">
      <c r="A13">
        <v>10</v>
      </c>
      <c r="B13">
        <v>2</v>
      </c>
      <c r="C13">
        <v>1</v>
      </c>
      <c r="D13" s="1" t="s">
        <v>107</v>
      </c>
      <c r="I13" s="1" t="s">
        <v>108</v>
      </c>
      <c r="J13" s="1" t="s">
        <v>107</v>
      </c>
      <c r="K13" s="1" t="s">
        <v>109</v>
      </c>
      <c r="L13" s="1" t="s">
        <v>109</v>
      </c>
      <c r="M13" s="1" t="s">
        <v>110</v>
      </c>
      <c r="N13" s="1" t="s">
        <v>111</v>
      </c>
      <c r="O13" s="1" t="s">
        <v>112</v>
      </c>
      <c r="P13" t="s">
        <v>53</v>
      </c>
      <c r="Q13">
        <v>-1</v>
      </c>
      <c r="R13">
        <v>1</v>
      </c>
      <c r="S13">
        <v>1</v>
      </c>
      <c r="T13" s="1" t="s">
        <v>113</v>
      </c>
      <c r="Y13">
        <v>414938</v>
      </c>
      <c r="Z13" s="1" t="s">
        <v>33</v>
      </c>
      <c r="AA13" t="s">
        <v>34</v>
      </c>
      <c r="AB13" t="s">
        <v>35</v>
      </c>
      <c r="AD13" t="s">
        <v>36</v>
      </c>
      <c r="AE13" t="s">
        <v>37</v>
      </c>
      <c r="AF13" t="s">
        <v>38</v>
      </c>
    </row>
    <row r="14" spans="1:32" x14ac:dyDescent="0.2">
      <c r="A14">
        <v>11</v>
      </c>
      <c r="B14">
        <v>2</v>
      </c>
      <c r="C14">
        <v>1</v>
      </c>
      <c r="D14" s="1" t="s">
        <v>114</v>
      </c>
      <c r="I14" s="1" t="s">
        <v>115</v>
      </c>
      <c r="J14" s="1" t="s">
        <v>114</v>
      </c>
      <c r="K14" s="1" t="s">
        <v>116</v>
      </c>
      <c r="L14" s="1" t="s">
        <v>116</v>
      </c>
      <c r="M14" s="1" t="s">
        <v>117</v>
      </c>
      <c r="N14" s="1" t="s">
        <v>118</v>
      </c>
      <c r="O14" s="1" t="s">
        <v>119</v>
      </c>
      <c r="P14" t="s">
        <v>53</v>
      </c>
      <c r="Q14">
        <v>-1</v>
      </c>
      <c r="R14">
        <v>1</v>
      </c>
      <c r="S14">
        <v>1</v>
      </c>
      <c r="T14" s="1" t="s">
        <v>120</v>
      </c>
      <c r="Y14">
        <v>414938</v>
      </c>
      <c r="Z14" s="1" t="s">
        <v>33</v>
      </c>
      <c r="AA14" t="s">
        <v>34</v>
      </c>
      <c r="AB14" t="s">
        <v>35</v>
      </c>
      <c r="AD14" t="s">
        <v>36</v>
      </c>
      <c r="AE14" t="s">
        <v>37</v>
      </c>
      <c r="AF14" t="s">
        <v>38</v>
      </c>
    </row>
    <row r="15" spans="1:32" x14ac:dyDescent="0.2">
      <c r="A15">
        <v>12</v>
      </c>
      <c r="B15">
        <v>2</v>
      </c>
      <c r="C15">
        <v>1</v>
      </c>
      <c r="D15" s="1" t="s">
        <v>121</v>
      </c>
      <c r="I15" s="1" t="s">
        <v>122</v>
      </c>
      <c r="J15" s="1" t="s">
        <v>121</v>
      </c>
      <c r="K15" s="1" t="s">
        <v>123</v>
      </c>
      <c r="L15" s="1" t="s">
        <v>123</v>
      </c>
      <c r="M15" s="1" t="s">
        <v>124</v>
      </c>
      <c r="N15" s="1" t="s">
        <v>125</v>
      </c>
      <c r="O15" s="1" t="s">
        <v>126</v>
      </c>
      <c r="P15" t="s">
        <v>45</v>
      </c>
      <c r="Q15">
        <v>1</v>
      </c>
      <c r="R15">
        <v>1</v>
      </c>
      <c r="S15">
        <v>1</v>
      </c>
      <c r="T15">
        <v>0.72062920709140599</v>
      </c>
      <c r="Y15">
        <v>414938</v>
      </c>
      <c r="Z15" s="1" t="s">
        <v>33</v>
      </c>
      <c r="AA15" t="s">
        <v>34</v>
      </c>
      <c r="AB15" t="s">
        <v>35</v>
      </c>
      <c r="AD15" t="s">
        <v>36</v>
      </c>
      <c r="AE15" t="s">
        <v>37</v>
      </c>
      <c r="AF15" t="s">
        <v>38</v>
      </c>
    </row>
    <row r="16" spans="1:32" x14ac:dyDescent="0.2">
      <c r="A16">
        <v>13</v>
      </c>
      <c r="B16">
        <v>1.5</v>
      </c>
      <c r="C16">
        <v>1</v>
      </c>
      <c r="D16" s="1" t="s">
        <v>127</v>
      </c>
      <c r="I16" s="1" t="s">
        <v>128</v>
      </c>
      <c r="J16" s="1" t="s">
        <v>127</v>
      </c>
      <c r="K16" s="1" t="s">
        <v>129</v>
      </c>
      <c r="L16" s="1" t="s">
        <v>129</v>
      </c>
      <c r="M16" s="1" t="s">
        <v>130</v>
      </c>
      <c r="N16" s="1" t="s">
        <v>131</v>
      </c>
      <c r="O16" s="1" t="s">
        <v>132</v>
      </c>
      <c r="P16" t="s">
        <v>53</v>
      </c>
      <c r="Q16">
        <v>-1</v>
      </c>
      <c r="R16">
        <v>0</v>
      </c>
      <c r="S16">
        <v>0</v>
      </c>
      <c r="T16" s="1" t="s">
        <v>133</v>
      </c>
      <c r="Y16">
        <v>414938</v>
      </c>
      <c r="Z16" s="1" t="s">
        <v>33</v>
      </c>
      <c r="AA16" t="s">
        <v>34</v>
      </c>
      <c r="AB16" t="s">
        <v>35</v>
      </c>
      <c r="AD16" t="s">
        <v>36</v>
      </c>
      <c r="AE16" t="s">
        <v>37</v>
      </c>
      <c r="AF16" t="s">
        <v>38</v>
      </c>
    </row>
    <row r="17" spans="1:32" x14ac:dyDescent="0.2">
      <c r="A17">
        <v>14</v>
      </c>
      <c r="B17">
        <v>1.5</v>
      </c>
      <c r="C17">
        <v>2.5</v>
      </c>
      <c r="D17" s="1" t="s">
        <v>134</v>
      </c>
      <c r="I17" s="1" t="s">
        <v>135</v>
      </c>
      <c r="J17" s="1" t="s">
        <v>134</v>
      </c>
      <c r="K17" s="1" t="s">
        <v>136</v>
      </c>
      <c r="L17" s="1" t="s">
        <v>136</v>
      </c>
      <c r="M17" s="1" t="s">
        <v>137</v>
      </c>
      <c r="N17" s="1" t="s">
        <v>138</v>
      </c>
      <c r="O17" s="1" t="s">
        <v>139</v>
      </c>
      <c r="P17" t="s">
        <v>53</v>
      </c>
      <c r="Q17">
        <v>-2.5</v>
      </c>
      <c r="R17">
        <v>0</v>
      </c>
      <c r="S17">
        <v>0</v>
      </c>
      <c r="T17" s="1" t="s">
        <v>140</v>
      </c>
      <c r="Y17">
        <v>414938</v>
      </c>
      <c r="Z17" s="1" t="s">
        <v>33</v>
      </c>
      <c r="AA17" t="s">
        <v>34</v>
      </c>
      <c r="AB17" t="s">
        <v>35</v>
      </c>
      <c r="AD17" t="s">
        <v>36</v>
      </c>
      <c r="AE17" t="s">
        <v>37</v>
      </c>
      <c r="AF17" t="s">
        <v>38</v>
      </c>
    </row>
    <row r="18" spans="1:32" x14ac:dyDescent="0.2">
      <c r="A18">
        <v>15</v>
      </c>
      <c r="B18">
        <v>1.5</v>
      </c>
      <c r="C18">
        <v>4</v>
      </c>
      <c r="D18" s="1" t="s">
        <v>141</v>
      </c>
      <c r="I18" s="1" t="s">
        <v>142</v>
      </c>
      <c r="J18" s="1" t="s">
        <v>141</v>
      </c>
      <c r="K18" s="1" t="s">
        <v>143</v>
      </c>
      <c r="L18" s="1" t="s">
        <v>143</v>
      </c>
      <c r="M18" s="1" t="s">
        <v>144</v>
      </c>
      <c r="N18" s="1" t="s">
        <v>145</v>
      </c>
      <c r="O18" s="1" t="s">
        <v>146</v>
      </c>
      <c r="P18" t="s">
        <v>45</v>
      </c>
      <c r="Q18">
        <v>4</v>
      </c>
      <c r="R18">
        <v>1</v>
      </c>
      <c r="S18">
        <v>1</v>
      </c>
      <c r="T18" s="1" t="s">
        <v>147</v>
      </c>
      <c r="Y18">
        <v>414938</v>
      </c>
      <c r="Z18" s="1" t="s">
        <v>33</v>
      </c>
      <c r="AA18" t="s">
        <v>34</v>
      </c>
      <c r="AB18" t="s">
        <v>35</v>
      </c>
      <c r="AD18" t="s">
        <v>36</v>
      </c>
      <c r="AE18" t="s">
        <v>37</v>
      </c>
      <c r="AF18" t="s">
        <v>38</v>
      </c>
    </row>
    <row r="19" spans="1:32" x14ac:dyDescent="0.2">
      <c r="A19">
        <v>16</v>
      </c>
      <c r="B19">
        <v>1.5</v>
      </c>
      <c r="C19">
        <v>4</v>
      </c>
      <c r="D19" s="1" t="s">
        <v>148</v>
      </c>
      <c r="I19" s="1" t="s">
        <v>149</v>
      </c>
      <c r="J19" s="1" t="s">
        <v>148</v>
      </c>
      <c r="K19" s="1" t="s">
        <v>150</v>
      </c>
      <c r="L19" s="1" t="s">
        <v>150</v>
      </c>
      <c r="M19" s="1" t="s">
        <v>151</v>
      </c>
      <c r="N19" s="1" t="s">
        <v>152</v>
      </c>
      <c r="O19" s="1" t="s">
        <v>153</v>
      </c>
      <c r="P19" t="s">
        <v>53</v>
      </c>
      <c r="Q19">
        <v>-4</v>
      </c>
      <c r="R19">
        <v>1</v>
      </c>
      <c r="S19">
        <v>1</v>
      </c>
      <c r="T19" s="1" t="s">
        <v>154</v>
      </c>
      <c r="Y19">
        <v>414938</v>
      </c>
      <c r="Z19" s="1" t="s">
        <v>33</v>
      </c>
      <c r="AA19" t="s">
        <v>34</v>
      </c>
      <c r="AB19" t="s">
        <v>35</v>
      </c>
      <c r="AD19" t="s">
        <v>36</v>
      </c>
      <c r="AE19" t="s">
        <v>37</v>
      </c>
      <c r="AF19" t="s">
        <v>38</v>
      </c>
    </row>
    <row r="20" spans="1:32" x14ac:dyDescent="0.2">
      <c r="A20">
        <v>17</v>
      </c>
      <c r="B20">
        <v>1</v>
      </c>
      <c r="C20">
        <v>4</v>
      </c>
      <c r="D20" s="1" t="s">
        <v>155</v>
      </c>
      <c r="I20" s="1" t="s">
        <v>156</v>
      </c>
      <c r="J20" s="1" t="s">
        <v>155</v>
      </c>
      <c r="K20" s="1" t="s">
        <v>157</v>
      </c>
      <c r="L20" s="1" t="s">
        <v>157</v>
      </c>
      <c r="M20" s="1" t="s">
        <v>158</v>
      </c>
      <c r="N20" s="1" t="s">
        <v>159</v>
      </c>
      <c r="O20" s="1" t="s">
        <v>160</v>
      </c>
      <c r="P20" t="s">
        <v>45</v>
      </c>
      <c r="Q20">
        <v>4</v>
      </c>
      <c r="R20">
        <v>1</v>
      </c>
      <c r="S20">
        <v>1</v>
      </c>
      <c r="T20" s="1" t="s">
        <v>161</v>
      </c>
      <c r="Y20">
        <v>414938</v>
      </c>
      <c r="Z20" s="1" t="s">
        <v>33</v>
      </c>
      <c r="AA20" t="s">
        <v>34</v>
      </c>
      <c r="AB20" t="s">
        <v>35</v>
      </c>
      <c r="AD20" t="s">
        <v>36</v>
      </c>
      <c r="AE20" t="s">
        <v>37</v>
      </c>
      <c r="AF20" t="s">
        <v>38</v>
      </c>
    </row>
    <row r="21" spans="1:32" x14ac:dyDescent="0.2">
      <c r="A21">
        <v>18</v>
      </c>
      <c r="B21">
        <v>1</v>
      </c>
      <c r="C21">
        <v>3</v>
      </c>
      <c r="D21" s="1" t="s">
        <v>162</v>
      </c>
      <c r="I21" s="1" t="s">
        <v>163</v>
      </c>
      <c r="J21" s="1" t="s">
        <v>162</v>
      </c>
      <c r="K21" s="1" t="s">
        <v>164</v>
      </c>
      <c r="L21" s="1" t="s">
        <v>164</v>
      </c>
      <c r="M21" s="1" t="s">
        <v>165</v>
      </c>
      <c r="N21" s="1" t="s">
        <v>166</v>
      </c>
      <c r="O21" s="1" t="s">
        <v>167</v>
      </c>
      <c r="P21" t="s">
        <v>53</v>
      </c>
      <c r="Q21">
        <v>-3</v>
      </c>
      <c r="R21">
        <v>1</v>
      </c>
      <c r="S21">
        <v>1</v>
      </c>
      <c r="T21" s="1" t="s">
        <v>168</v>
      </c>
      <c r="Y21">
        <v>414938</v>
      </c>
      <c r="Z21" s="1" t="s">
        <v>33</v>
      </c>
      <c r="AA21" t="s">
        <v>34</v>
      </c>
      <c r="AB21" t="s">
        <v>35</v>
      </c>
      <c r="AD21" t="s">
        <v>36</v>
      </c>
      <c r="AE21" t="s">
        <v>37</v>
      </c>
      <c r="AF21" t="s">
        <v>38</v>
      </c>
    </row>
    <row r="22" spans="1:32" x14ac:dyDescent="0.2">
      <c r="A22">
        <v>19</v>
      </c>
      <c r="B22">
        <v>1</v>
      </c>
      <c r="C22">
        <v>3</v>
      </c>
      <c r="D22" s="1" t="s">
        <v>169</v>
      </c>
      <c r="I22" s="1" t="s">
        <v>170</v>
      </c>
      <c r="J22" s="1" t="s">
        <v>169</v>
      </c>
      <c r="K22" s="1" t="s">
        <v>171</v>
      </c>
      <c r="L22" s="1" t="s">
        <v>171</v>
      </c>
      <c r="M22" s="1" t="s">
        <v>172</v>
      </c>
      <c r="N22" s="1" t="s">
        <v>173</v>
      </c>
      <c r="O22" s="1" t="s">
        <v>174</v>
      </c>
      <c r="P22" t="s">
        <v>45</v>
      </c>
      <c r="Q22">
        <v>3</v>
      </c>
      <c r="R22">
        <v>1</v>
      </c>
      <c r="S22">
        <v>1</v>
      </c>
      <c r="T22">
        <v>0.59008679096587002</v>
      </c>
      <c r="Y22">
        <v>414938</v>
      </c>
      <c r="Z22" s="1" t="s">
        <v>33</v>
      </c>
      <c r="AA22" t="s">
        <v>34</v>
      </c>
      <c r="AB22" t="s">
        <v>35</v>
      </c>
      <c r="AD22" t="s">
        <v>36</v>
      </c>
      <c r="AE22" t="s">
        <v>37</v>
      </c>
      <c r="AF22" t="s">
        <v>38</v>
      </c>
    </row>
    <row r="23" spans="1:32" x14ac:dyDescent="0.2">
      <c r="A23">
        <v>20</v>
      </c>
      <c r="B23">
        <v>1</v>
      </c>
      <c r="C23">
        <v>3</v>
      </c>
      <c r="D23" s="1" t="s">
        <v>175</v>
      </c>
      <c r="I23" s="1" t="s">
        <v>176</v>
      </c>
      <c r="J23" s="1" t="s">
        <v>175</v>
      </c>
      <c r="K23" s="1" t="s">
        <v>177</v>
      </c>
      <c r="L23" s="1" t="s">
        <v>177</v>
      </c>
      <c r="M23">
        <v>27.981719292001799</v>
      </c>
      <c r="N23" s="1" t="s">
        <v>178</v>
      </c>
      <c r="O23" s="1" t="s">
        <v>179</v>
      </c>
      <c r="P23" t="s">
        <v>53</v>
      </c>
      <c r="Q23">
        <v>-3</v>
      </c>
      <c r="R23">
        <v>1</v>
      </c>
      <c r="S23">
        <v>1</v>
      </c>
      <c r="T23" s="1" t="s">
        <v>180</v>
      </c>
      <c r="Y23">
        <v>414938</v>
      </c>
      <c r="Z23" s="1" t="s">
        <v>33</v>
      </c>
      <c r="AA23" t="s">
        <v>34</v>
      </c>
      <c r="AB23" t="s">
        <v>35</v>
      </c>
      <c r="AD23" t="s">
        <v>36</v>
      </c>
      <c r="AE23" t="s">
        <v>37</v>
      </c>
      <c r="AF23" t="s">
        <v>38</v>
      </c>
    </row>
    <row r="24" spans="1:32" x14ac:dyDescent="0.2">
      <c r="A24">
        <v>21</v>
      </c>
      <c r="B24">
        <v>1</v>
      </c>
      <c r="C24">
        <v>2</v>
      </c>
      <c r="D24" s="1" t="s">
        <v>181</v>
      </c>
      <c r="I24" s="1" t="s">
        <v>182</v>
      </c>
      <c r="J24" s="1" t="s">
        <v>181</v>
      </c>
      <c r="K24" s="1" t="s">
        <v>183</v>
      </c>
      <c r="L24" s="1" t="s">
        <v>183</v>
      </c>
      <c r="M24" s="1" t="s">
        <v>184</v>
      </c>
      <c r="N24" s="1" t="s">
        <v>185</v>
      </c>
      <c r="O24" s="1" t="s">
        <v>186</v>
      </c>
      <c r="P24" t="s">
        <v>45</v>
      </c>
      <c r="Q24">
        <v>2</v>
      </c>
      <c r="R24">
        <v>1</v>
      </c>
      <c r="S24">
        <v>1</v>
      </c>
      <c r="T24" s="1" t="s">
        <v>187</v>
      </c>
      <c r="Y24">
        <v>414938</v>
      </c>
      <c r="Z24" s="1" t="s">
        <v>33</v>
      </c>
      <c r="AA24" t="s">
        <v>34</v>
      </c>
      <c r="AB24" t="s">
        <v>35</v>
      </c>
      <c r="AD24" t="s">
        <v>36</v>
      </c>
      <c r="AE24" t="s">
        <v>37</v>
      </c>
      <c r="AF24" t="s">
        <v>38</v>
      </c>
    </row>
    <row r="25" spans="1:32" x14ac:dyDescent="0.2">
      <c r="A25">
        <v>22</v>
      </c>
      <c r="B25">
        <v>1</v>
      </c>
      <c r="C25">
        <v>2</v>
      </c>
      <c r="D25" s="1" t="s">
        <v>188</v>
      </c>
      <c r="I25" s="1" t="s">
        <v>189</v>
      </c>
      <c r="J25" s="1" t="s">
        <v>188</v>
      </c>
      <c r="K25" s="1" t="s">
        <v>190</v>
      </c>
      <c r="L25" s="1" t="s">
        <v>190</v>
      </c>
      <c r="M25" s="1" t="s">
        <v>190</v>
      </c>
      <c r="N25" s="1" t="s">
        <v>191</v>
      </c>
      <c r="O25" s="1" t="s">
        <v>192</v>
      </c>
      <c r="P25" t="s">
        <v>53</v>
      </c>
      <c r="Q25">
        <v>-2</v>
      </c>
      <c r="R25">
        <v>1</v>
      </c>
      <c r="S25">
        <v>1</v>
      </c>
      <c r="T25" s="1" t="s">
        <v>193</v>
      </c>
      <c r="Y25">
        <v>414938</v>
      </c>
      <c r="Z25" s="1" t="s">
        <v>33</v>
      </c>
      <c r="AA25" t="s">
        <v>34</v>
      </c>
      <c r="AB25" t="s">
        <v>35</v>
      </c>
      <c r="AD25" t="s">
        <v>36</v>
      </c>
      <c r="AE25" t="s">
        <v>37</v>
      </c>
      <c r="AF25" t="s">
        <v>38</v>
      </c>
    </row>
    <row r="26" spans="1:32" x14ac:dyDescent="0.2">
      <c r="A26">
        <v>23</v>
      </c>
      <c r="B26">
        <v>1</v>
      </c>
      <c r="C26">
        <v>2</v>
      </c>
      <c r="D26" s="1" t="s">
        <v>194</v>
      </c>
      <c r="I26" s="1" t="s">
        <v>195</v>
      </c>
      <c r="J26" s="1" t="s">
        <v>194</v>
      </c>
      <c r="K26" s="1" t="s">
        <v>196</v>
      </c>
      <c r="L26" s="1" t="s">
        <v>196</v>
      </c>
      <c r="M26" s="1" t="s">
        <v>197</v>
      </c>
      <c r="N26" s="1" t="s">
        <v>198</v>
      </c>
      <c r="O26" s="1" t="s">
        <v>199</v>
      </c>
      <c r="P26" t="s">
        <v>53</v>
      </c>
      <c r="Q26">
        <v>-2</v>
      </c>
      <c r="R26">
        <v>1</v>
      </c>
      <c r="S26">
        <v>1</v>
      </c>
      <c r="T26" s="1" t="s">
        <v>200</v>
      </c>
      <c r="Y26">
        <v>414938</v>
      </c>
      <c r="Z26" s="1" t="s">
        <v>33</v>
      </c>
      <c r="AA26" t="s">
        <v>34</v>
      </c>
      <c r="AB26" t="s">
        <v>35</v>
      </c>
      <c r="AD26" t="s">
        <v>36</v>
      </c>
      <c r="AE26" t="s">
        <v>37</v>
      </c>
      <c r="AF26" t="s">
        <v>38</v>
      </c>
    </row>
    <row r="27" spans="1:32" x14ac:dyDescent="0.2">
      <c r="A27">
        <v>24</v>
      </c>
      <c r="B27">
        <v>1</v>
      </c>
      <c r="C27">
        <v>1</v>
      </c>
      <c r="D27" s="1" t="s">
        <v>201</v>
      </c>
      <c r="I27" s="1" t="s">
        <v>202</v>
      </c>
      <c r="J27" s="1" t="s">
        <v>201</v>
      </c>
      <c r="K27" s="1" t="s">
        <v>203</v>
      </c>
      <c r="L27" s="1" t="s">
        <v>203</v>
      </c>
      <c r="M27" s="1" t="s">
        <v>203</v>
      </c>
      <c r="N27" s="1" t="s">
        <v>204</v>
      </c>
      <c r="O27" s="1" t="s">
        <v>205</v>
      </c>
      <c r="P27" t="s">
        <v>53</v>
      </c>
      <c r="Q27">
        <v>-1</v>
      </c>
      <c r="R27">
        <v>1</v>
      </c>
      <c r="S27">
        <v>1</v>
      </c>
      <c r="T27" s="1" t="s">
        <v>206</v>
      </c>
      <c r="Y27">
        <v>414938</v>
      </c>
      <c r="Z27" s="1" t="s">
        <v>33</v>
      </c>
      <c r="AA27" t="s">
        <v>34</v>
      </c>
      <c r="AB27" t="s">
        <v>35</v>
      </c>
      <c r="AD27" t="s">
        <v>36</v>
      </c>
      <c r="AE27" t="s">
        <v>37</v>
      </c>
      <c r="AF27" t="s">
        <v>38</v>
      </c>
    </row>
    <row r="28" spans="1:32" x14ac:dyDescent="0.2">
      <c r="A28">
        <v>25</v>
      </c>
      <c r="B28">
        <v>1</v>
      </c>
      <c r="C28">
        <v>1</v>
      </c>
      <c r="D28" s="1" t="s">
        <v>207</v>
      </c>
      <c r="I28">
        <v>32.747718916973099</v>
      </c>
      <c r="J28" s="1" t="s">
        <v>207</v>
      </c>
      <c r="K28" s="1" t="s">
        <v>208</v>
      </c>
      <c r="L28" s="1" t="s">
        <v>208</v>
      </c>
      <c r="M28" s="1" t="s">
        <v>209</v>
      </c>
      <c r="N28" s="1" t="s">
        <v>210</v>
      </c>
      <c r="O28" s="1" t="s">
        <v>211</v>
      </c>
      <c r="P28" t="s">
        <v>53</v>
      </c>
      <c r="Q28">
        <v>-1</v>
      </c>
      <c r="R28">
        <v>1</v>
      </c>
      <c r="S28">
        <v>1</v>
      </c>
      <c r="T28" s="1" t="s">
        <v>212</v>
      </c>
      <c r="Y28">
        <v>414938</v>
      </c>
      <c r="Z28" s="1" t="s">
        <v>33</v>
      </c>
      <c r="AA28" t="s">
        <v>34</v>
      </c>
      <c r="AB28" t="s">
        <v>35</v>
      </c>
      <c r="AD28" t="s">
        <v>36</v>
      </c>
      <c r="AE28" t="s">
        <v>37</v>
      </c>
      <c r="AF28" t="s">
        <v>38</v>
      </c>
    </row>
    <row r="29" spans="1:32" x14ac:dyDescent="0.2">
      <c r="A29">
        <v>26</v>
      </c>
      <c r="B29">
        <v>1</v>
      </c>
      <c r="C29">
        <v>1</v>
      </c>
      <c r="D29" s="1" t="s">
        <v>213</v>
      </c>
      <c r="I29" s="1" t="s">
        <v>214</v>
      </c>
      <c r="J29" s="1" t="s">
        <v>213</v>
      </c>
      <c r="K29" s="1" t="s">
        <v>215</v>
      </c>
      <c r="L29" s="1" t="s">
        <v>215</v>
      </c>
      <c r="M29" s="1" t="s">
        <v>216</v>
      </c>
      <c r="N29" s="1" t="s">
        <v>217</v>
      </c>
      <c r="O29" s="1" t="s">
        <v>218</v>
      </c>
      <c r="P29" t="s">
        <v>45</v>
      </c>
      <c r="Q29">
        <v>1</v>
      </c>
      <c r="R29">
        <v>1</v>
      </c>
      <c r="S29">
        <v>1</v>
      </c>
      <c r="T29" s="1" t="s">
        <v>219</v>
      </c>
      <c r="Y29">
        <v>414938</v>
      </c>
      <c r="Z29" s="1" t="s">
        <v>33</v>
      </c>
      <c r="AA29" t="s">
        <v>34</v>
      </c>
      <c r="AB29" t="s">
        <v>35</v>
      </c>
      <c r="AD29" t="s">
        <v>36</v>
      </c>
      <c r="AE29" t="s">
        <v>37</v>
      </c>
      <c r="AF29" t="s">
        <v>38</v>
      </c>
    </row>
    <row r="30" spans="1:32" x14ac:dyDescent="0.2">
      <c r="A30">
        <v>27</v>
      </c>
      <c r="B30">
        <v>1</v>
      </c>
      <c r="C30">
        <v>1</v>
      </c>
      <c r="D30" s="1" t="s">
        <v>220</v>
      </c>
      <c r="I30" s="1" t="s">
        <v>221</v>
      </c>
      <c r="J30" s="1" t="s">
        <v>220</v>
      </c>
      <c r="K30" s="1" t="s">
        <v>222</v>
      </c>
      <c r="L30" s="1" t="s">
        <v>222</v>
      </c>
      <c r="M30" s="1" t="s">
        <v>223</v>
      </c>
      <c r="N30" s="1" t="s">
        <v>224</v>
      </c>
      <c r="O30" s="1" t="s">
        <v>225</v>
      </c>
      <c r="P30" t="s">
        <v>45</v>
      </c>
      <c r="Q30">
        <v>1</v>
      </c>
      <c r="R30">
        <v>1</v>
      </c>
      <c r="S30">
        <v>1</v>
      </c>
      <c r="T30" s="1" t="s">
        <v>226</v>
      </c>
      <c r="Y30">
        <v>414938</v>
      </c>
      <c r="Z30" s="1" t="s">
        <v>33</v>
      </c>
      <c r="AA30" t="s">
        <v>34</v>
      </c>
      <c r="AB30" t="s">
        <v>35</v>
      </c>
      <c r="AD30" t="s">
        <v>36</v>
      </c>
      <c r="AE30" t="s">
        <v>37</v>
      </c>
      <c r="AF30" t="s">
        <v>38</v>
      </c>
    </row>
    <row r="31" spans="1:32" x14ac:dyDescent="0.2">
      <c r="A31">
        <v>28</v>
      </c>
      <c r="B31">
        <v>1</v>
      </c>
      <c r="C31">
        <v>1</v>
      </c>
      <c r="D31" s="1" t="s">
        <v>227</v>
      </c>
      <c r="I31" s="1" t="s">
        <v>228</v>
      </c>
      <c r="J31" s="1" t="s">
        <v>227</v>
      </c>
      <c r="K31" s="1" t="s">
        <v>229</v>
      </c>
      <c r="L31" s="1" t="s">
        <v>229</v>
      </c>
      <c r="M31" s="1" t="s">
        <v>230</v>
      </c>
      <c r="N31" s="1" t="s">
        <v>231</v>
      </c>
      <c r="O31" s="1" t="s">
        <v>232</v>
      </c>
      <c r="P31" t="s">
        <v>45</v>
      </c>
      <c r="Q31">
        <v>1</v>
      </c>
      <c r="R31">
        <v>1</v>
      </c>
      <c r="S31">
        <v>1</v>
      </c>
      <c r="T31" s="1" t="s">
        <v>233</v>
      </c>
      <c r="Y31">
        <v>414938</v>
      </c>
      <c r="Z31" s="1" t="s">
        <v>33</v>
      </c>
      <c r="AA31" t="s">
        <v>34</v>
      </c>
      <c r="AB31" t="s">
        <v>35</v>
      </c>
      <c r="AD31" t="s">
        <v>36</v>
      </c>
      <c r="AE31" t="s">
        <v>37</v>
      </c>
      <c r="AF31" t="s">
        <v>38</v>
      </c>
    </row>
    <row r="32" spans="1:32" x14ac:dyDescent="0.2">
      <c r="A32">
        <v>29</v>
      </c>
      <c r="B32">
        <v>1</v>
      </c>
      <c r="C32">
        <v>1</v>
      </c>
      <c r="D32" s="1" t="s">
        <v>234</v>
      </c>
      <c r="I32" s="1" t="s">
        <v>235</v>
      </c>
      <c r="J32" s="1" t="s">
        <v>234</v>
      </c>
      <c r="K32" s="1" t="s">
        <v>236</v>
      </c>
      <c r="L32" s="1" t="s">
        <v>236</v>
      </c>
      <c r="M32" s="1" t="s">
        <v>237</v>
      </c>
      <c r="N32">
        <v>38.265459791989997</v>
      </c>
      <c r="O32">
        <v>38.563651207950898</v>
      </c>
      <c r="P32" t="s">
        <v>45</v>
      </c>
      <c r="Q32">
        <v>1</v>
      </c>
      <c r="R32">
        <v>1</v>
      </c>
      <c r="S32">
        <v>1</v>
      </c>
      <c r="T32" s="1" t="s">
        <v>238</v>
      </c>
      <c r="Y32">
        <v>414938</v>
      </c>
      <c r="Z32" s="1" t="s">
        <v>33</v>
      </c>
      <c r="AA32" t="s">
        <v>34</v>
      </c>
      <c r="AB32" t="s">
        <v>35</v>
      </c>
      <c r="AD32" t="s">
        <v>36</v>
      </c>
      <c r="AE32" t="s">
        <v>37</v>
      </c>
      <c r="AF32" t="s">
        <v>38</v>
      </c>
    </row>
    <row r="33" spans="1:32" x14ac:dyDescent="0.2">
      <c r="A33">
        <v>30</v>
      </c>
      <c r="B33">
        <v>1</v>
      </c>
      <c r="C33">
        <v>1</v>
      </c>
      <c r="D33">
        <v>38.571118541993201</v>
      </c>
      <c r="I33" s="1" t="s">
        <v>239</v>
      </c>
      <c r="J33">
        <v>38.571118541993201</v>
      </c>
      <c r="K33" s="1" t="s">
        <v>240</v>
      </c>
      <c r="L33" s="1" t="s">
        <v>240</v>
      </c>
      <c r="M33">
        <v>39.065471041947603</v>
      </c>
      <c r="N33">
        <v>39.348553000018001</v>
      </c>
      <c r="O33" s="1" t="s">
        <v>241</v>
      </c>
      <c r="P33" t="s">
        <v>45</v>
      </c>
      <c r="Q33">
        <v>1</v>
      </c>
      <c r="R33">
        <v>1</v>
      </c>
      <c r="S33">
        <v>1</v>
      </c>
      <c r="T33">
        <v>0.52937849890440702</v>
      </c>
      <c r="Y33">
        <v>414938</v>
      </c>
      <c r="Z33" s="1" t="s">
        <v>33</v>
      </c>
      <c r="AA33" t="s">
        <v>34</v>
      </c>
      <c r="AB33" t="s">
        <v>35</v>
      </c>
      <c r="AD33" t="s">
        <v>36</v>
      </c>
      <c r="AE33" t="s">
        <v>37</v>
      </c>
      <c r="AF33" t="s">
        <v>38</v>
      </c>
    </row>
    <row r="34" spans="1:32" x14ac:dyDescent="0.2">
      <c r="A34">
        <v>31</v>
      </c>
      <c r="B34">
        <v>1</v>
      </c>
      <c r="C34">
        <v>1</v>
      </c>
      <c r="D34" s="1" t="s">
        <v>242</v>
      </c>
      <c r="I34" s="1" t="s">
        <v>243</v>
      </c>
      <c r="J34" s="1" t="s">
        <v>242</v>
      </c>
      <c r="K34" s="1" t="s">
        <v>244</v>
      </c>
      <c r="L34" s="1" t="s">
        <v>244</v>
      </c>
      <c r="M34" s="1" t="s">
        <v>245</v>
      </c>
      <c r="N34" s="1" t="s">
        <v>246</v>
      </c>
      <c r="O34" s="1" t="s">
        <v>247</v>
      </c>
      <c r="P34" t="s">
        <v>45</v>
      </c>
      <c r="Q34">
        <v>1</v>
      </c>
      <c r="R34">
        <v>1</v>
      </c>
      <c r="S34">
        <v>1</v>
      </c>
      <c r="T34" s="1" t="s">
        <v>248</v>
      </c>
      <c r="Y34">
        <v>414938</v>
      </c>
      <c r="Z34" s="1" t="s">
        <v>33</v>
      </c>
      <c r="AA34" t="s">
        <v>34</v>
      </c>
      <c r="AB34" t="s">
        <v>35</v>
      </c>
      <c r="AD34" t="s">
        <v>36</v>
      </c>
      <c r="AE34" t="s">
        <v>37</v>
      </c>
      <c r="AF34" t="s">
        <v>38</v>
      </c>
    </row>
    <row r="35" spans="1:32" x14ac:dyDescent="0.2">
      <c r="A35">
        <v>32</v>
      </c>
      <c r="B35">
        <v>1</v>
      </c>
      <c r="C35">
        <v>1</v>
      </c>
      <c r="D35" s="1" t="s">
        <v>249</v>
      </c>
      <c r="I35">
        <v>40.598136582993902</v>
      </c>
      <c r="J35" s="1" t="s">
        <v>249</v>
      </c>
      <c r="K35" s="1" t="s">
        <v>250</v>
      </c>
      <c r="L35" s="1" t="s">
        <v>250</v>
      </c>
      <c r="M35" s="1" t="s">
        <v>251</v>
      </c>
      <c r="N35" s="1" t="s">
        <v>252</v>
      </c>
      <c r="O35" s="1" t="s">
        <v>253</v>
      </c>
      <c r="P35" t="s">
        <v>53</v>
      </c>
      <c r="Q35">
        <v>-1</v>
      </c>
      <c r="R35">
        <v>1</v>
      </c>
      <c r="S35">
        <v>1</v>
      </c>
      <c r="T35" s="1" t="s">
        <v>254</v>
      </c>
      <c r="Y35">
        <v>414938</v>
      </c>
      <c r="Z35" s="1" t="s">
        <v>33</v>
      </c>
      <c r="AA35" t="s">
        <v>34</v>
      </c>
      <c r="AB35" t="s">
        <v>35</v>
      </c>
      <c r="AD35" t="s">
        <v>36</v>
      </c>
      <c r="AE35" t="s">
        <v>37</v>
      </c>
      <c r="AF35" t="s">
        <v>38</v>
      </c>
    </row>
    <row r="36" spans="1:32" x14ac:dyDescent="0.2">
      <c r="A36">
        <v>33</v>
      </c>
      <c r="B36">
        <v>1</v>
      </c>
      <c r="C36">
        <v>1</v>
      </c>
      <c r="D36" s="1" t="s">
        <v>255</v>
      </c>
      <c r="I36" s="1" t="s">
        <v>256</v>
      </c>
      <c r="J36" s="1" t="s">
        <v>255</v>
      </c>
      <c r="K36" s="1" t="s">
        <v>257</v>
      </c>
      <c r="L36" s="1" t="s">
        <v>257</v>
      </c>
      <c r="M36" s="1" t="s">
        <v>258</v>
      </c>
      <c r="N36" s="1" t="s">
        <v>259</v>
      </c>
      <c r="O36" s="1" t="s">
        <v>260</v>
      </c>
      <c r="P36" t="s">
        <v>53</v>
      </c>
      <c r="Q36">
        <v>-1</v>
      </c>
      <c r="R36">
        <v>1</v>
      </c>
      <c r="S36">
        <v>1</v>
      </c>
      <c r="T36" s="1" t="s">
        <v>261</v>
      </c>
      <c r="Y36">
        <v>414938</v>
      </c>
      <c r="Z36" s="1" t="s">
        <v>33</v>
      </c>
      <c r="AA36" t="s">
        <v>34</v>
      </c>
      <c r="AB36" t="s">
        <v>35</v>
      </c>
      <c r="AD36" t="s">
        <v>36</v>
      </c>
      <c r="AE36" t="s">
        <v>37</v>
      </c>
      <c r="AF36" t="s">
        <v>38</v>
      </c>
    </row>
    <row r="37" spans="1:32" x14ac:dyDescent="0.2">
      <c r="A37">
        <v>34</v>
      </c>
      <c r="B37">
        <v>1</v>
      </c>
      <c r="C37">
        <v>1</v>
      </c>
      <c r="D37" s="1" t="s">
        <v>262</v>
      </c>
      <c r="I37" s="1" t="s">
        <v>263</v>
      </c>
      <c r="J37" s="1" t="s">
        <v>262</v>
      </c>
      <c r="K37" s="1" t="s">
        <v>264</v>
      </c>
      <c r="L37" s="1" t="s">
        <v>264</v>
      </c>
      <c r="M37" s="1" t="s">
        <v>265</v>
      </c>
      <c r="N37" s="1" t="s">
        <v>266</v>
      </c>
      <c r="O37">
        <v>44.034057791926898</v>
      </c>
      <c r="P37" t="s">
        <v>53</v>
      </c>
      <c r="Q37">
        <v>-1</v>
      </c>
      <c r="R37">
        <v>1</v>
      </c>
      <c r="S37">
        <v>1</v>
      </c>
      <c r="T37" s="1" t="s">
        <v>267</v>
      </c>
      <c r="Y37">
        <v>414938</v>
      </c>
      <c r="Z37" s="1" t="s">
        <v>33</v>
      </c>
      <c r="AA37" t="s">
        <v>34</v>
      </c>
      <c r="AB37" t="s">
        <v>35</v>
      </c>
      <c r="AD37" t="s">
        <v>36</v>
      </c>
      <c r="AE37" t="s">
        <v>37</v>
      </c>
      <c r="AF37" t="s">
        <v>38</v>
      </c>
    </row>
    <row r="38" spans="1:32" x14ac:dyDescent="0.2">
      <c r="A38">
        <v>35</v>
      </c>
      <c r="B38">
        <v>1</v>
      </c>
      <c r="C38">
        <v>1</v>
      </c>
      <c r="D38" s="1" t="s">
        <v>268</v>
      </c>
      <c r="I38" s="1" t="s">
        <v>269</v>
      </c>
      <c r="J38" s="1" t="s">
        <v>268</v>
      </c>
      <c r="K38">
        <v>44.534205292002298</v>
      </c>
      <c r="L38">
        <v>44.534205292002298</v>
      </c>
      <c r="M38">
        <v>44.534205292002298</v>
      </c>
      <c r="N38" s="1" t="s">
        <v>270</v>
      </c>
      <c r="O38" s="1" t="s">
        <v>271</v>
      </c>
      <c r="P38" t="s">
        <v>53</v>
      </c>
      <c r="Q38">
        <v>-1</v>
      </c>
      <c r="R38">
        <v>1</v>
      </c>
      <c r="S38">
        <v>1</v>
      </c>
      <c r="T38" s="1" t="s">
        <v>272</v>
      </c>
      <c r="Y38">
        <v>414938</v>
      </c>
      <c r="Z38" s="1" t="s">
        <v>33</v>
      </c>
      <c r="AA38" t="s">
        <v>34</v>
      </c>
      <c r="AB38" t="s">
        <v>35</v>
      </c>
      <c r="AD38" t="s">
        <v>36</v>
      </c>
      <c r="AE38" t="s">
        <v>37</v>
      </c>
      <c r="AF38" t="s">
        <v>38</v>
      </c>
    </row>
    <row r="39" spans="1:32" x14ac:dyDescent="0.2">
      <c r="A39">
        <v>36</v>
      </c>
      <c r="B39">
        <v>1</v>
      </c>
      <c r="C39">
        <v>1</v>
      </c>
      <c r="D39" s="1" t="s">
        <v>273</v>
      </c>
      <c r="I39" s="1" t="s">
        <v>274</v>
      </c>
      <c r="J39" s="1" t="s">
        <v>273</v>
      </c>
      <c r="K39" s="1" t="s">
        <v>275</v>
      </c>
      <c r="L39" s="1" t="s">
        <v>275</v>
      </c>
      <c r="M39" s="1" t="s">
        <v>276</v>
      </c>
      <c r="N39" s="1" t="s">
        <v>277</v>
      </c>
      <c r="O39" s="1" t="s">
        <v>278</v>
      </c>
      <c r="P39" t="s">
        <v>45</v>
      </c>
      <c r="Q39">
        <v>1</v>
      </c>
      <c r="R39">
        <v>1</v>
      </c>
      <c r="S39">
        <v>1</v>
      </c>
      <c r="T39" s="1" t="s">
        <v>279</v>
      </c>
      <c r="Y39">
        <v>414938</v>
      </c>
      <c r="Z39" s="1" t="s">
        <v>33</v>
      </c>
      <c r="AA39" t="s">
        <v>34</v>
      </c>
      <c r="AB39" t="s">
        <v>35</v>
      </c>
      <c r="AD39" t="s">
        <v>36</v>
      </c>
      <c r="AE39" t="s">
        <v>37</v>
      </c>
      <c r="AF39" t="s">
        <v>38</v>
      </c>
    </row>
    <row r="40" spans="1:32" x14ac:dyDescent="0.2">
      <c r="A40">
        <v>37</v>
      </c>
      <c r="B40">
        <v>1</v>
      </c>
      <c r="C40">
        <v>1</v>
      </c>
      <c r="D40" s="1" t="s">
        <v>280</v>
      </c>
      <c r="I40" s="1" t="s">
        <v>281</v>
      </c>
      <c r="J40" s="1" t="s">
        <v>280</v>
      </c>
      <c r="K40" s="1" t="s">
        <v>282</v>
      </c>
      <c r="L40" s="1" t="s">
        <v>282</v>
      </c>
      <c r="M40" s="1" t="s">
        <v>283</v>
      </c>
      <c r="N40" s="1" t="s">
        <v>284</v>
      </c>
      <c r="O40" s="1" t="s">
        <v>285</v>
      </c>
      <c r="P40" t="s">
        <v>53</v>
      </c>
      <c r="Q40">
        <v>-1</v>
      </c>
      <c r="R40">
        <v>1</v>
      </c>
      <c r="S40">
        <v>1</v>
      </c>
      <c r="T40" s="1" t="s">
        <v>286</v>
      </c>
      <c r="Y40">
        <v>414938</v>
      </c>
      <c r="Z40" s="1" t="s">
        <v>33</v>
      </c>
      <c r="AA40" t="s">
        <v>34</v>
      </c>
      <c r="AB40" t="s">
        <v>35</v>
      </c>
      <c r="AD40" t="s">
        <v>36</v>
      </c>
      <c r="AE40" t="s">
        <v>37</v>
      </c>
      <c r="AF40" t="s">
        <v>38</v>
      </c>
    </row>
    <row r="41" spans="1:32" x14ac:dyDescent="0.2">
      <c r="A41">
        <v>38</v>
      </c>
      <c r="B41">
        <v>1</v>
      </c>
      <c r="C41">
        <v>1</v>
      </c>
      <c r="D41" s="1" t="s">
        <v>287</v>
      </c>
      <c r="I41">
        <v>47.9805785829667</v>
      </c>
      <c r="J41" s="1" t="s">
        <v>287</v>
      </c>
      <c r="K41" s="1" t="s">
        <v>288</v>
      </c>
      <c r="L41" s="1" t="s">
        <v>288</v>
      </c>
      <c r="M41" s="1" t="s">
        <v>289</v>
      </c>
      <c r="N41" s="1" t="s">
        <v>290</v>
      </c>
      <c r="O41" s="1" t="s">
        <v>291</v>
      </c>
      <c r="P41" t="s">
        <v>53</v>
      </c>
      <c r="Q41">
        <v>-1</v>
      </c>
      <c r="R41">
        <v>1</v>
      </c>
      <c r="S41">
        <v>1</v>
      </c>
      <c r="T41" s="1" t="s">
        <v>292</v>
      </c>
      <c r="Y41">
        <v>414938</v>
      </c>
      <c r="Z41" s="1" t="s">
        <v>33</v>
      </c>
      <c r="AA41" t="s">
        <v>34</v>
      </c>
      <c r="AB41" t="s">
        <v>35</v>
      </c>
      <c r="AD41" t="s">
        <v>36</v>
      </c>
      <c r="AE41" t="s">
        <v>37</v>
      </c>
      <c r="AF41" t="s">
        <v>38</v>
      </c>
    </row>
    <row r="42" spans="1:32" x14ac:dyDescent="0.2">
      <c r="A42">
        <v>39</v>
      </c>
      <c r="B42">
        <v>1</v>
      </c>
      <c r="C42">
        <v>1</v>
      </c>
      <c r="D42" s="1" t="s">
        <v>293</v>
      </c>
      <c r="I42" s="1" t="s">
        <v>294</v>
      </c>
      <c r="J42" s="1" t="s">
        <v>293</v>
      </c>
      <c r="K42" s="1" t="s">
        <v>295</v>
      </c>
      <c r="L42" s="1" t="s">
        <v>295</v>
      </c>
      <c r="M42">
        <v>49.565818791976199</v>
      </c>
      <c r="N42" s="1" t="s">
        <v>296</v>
      </c>
      <c r="O42" s="1" t="s">
        <v>297</v>
      </c>
      <c r="P42" t="s">
        <v>53</v>
      </c>
      <c r="Q42">
        <v>-1</v>
      </c>
      <c r="R42">
        <v>1</v>
      </c>
      <c r="S42">
        <v>1</v>
      </c>
      <c r="T42" s="1" t="s">
        <v>298</v>
      </c>
      <c r="Y42">
        <v>414938</v>
      </c>
      <c r="Z42" s="1" t="s">
        <v>33</v>
      </c>
      <c r="AA42" t="s">
        <v>34</v>
      </c>
      <c r="AB42" t="s">
        <v>35</v>
      </c>
      <c r="AD42" t="s">
        <v>36</v>
      </c>
      <c r="AE42" t="s">
        <v>37</v>
      </c>
      <c r="AF42" t="s">
        <v>38</v>
      </c>
    </row>
    <row r="43" spans="1:32" x14ac:dyDescent="0.2">
      <c r="A43">
        <v>40</v>
      </c>
      <c r="B43">
        <v>1</v>
      </c>
      <c r="C43">
        <v>1</v>
      </c>
      <c r="D43" s="1" t="s">
        <v>299</v>
      </c>
      <c r="I43" s="1" t="s">
        <v>300</v>
      </c>
      <c r="J43" s="1" t="s">
        <v>299</v>
      </c>
      <c r="K43" s="1" t="s">
        <v>301</v>
      </c>
      <c r="L43" s="1" t="s">
        <v>301</v>
      </c>
      <c r="M43" s="1" t="s">
        <v>301</v>
      </c>
      <c r="N43" s="1" t="s">
        <v>302</v>
      </c>
      <c r="O43" s="1" t="s">
        <v>303</v>
      </c>
      <c r="P43" t="s">
        <v>53</v>
      </c>
      <c r="Q43">
        <v>-1</v>
      </c>
      <c r="R43">
        <v>1</v>
      </c>
      <c r="S43">
        <v>1</v>
      </c>
      <c r="T43" s="1" t="s">
        <v>304</v>
      </c>
      <c r="Y43">
        <v>414938</v>
      </c>
      <c r="Z43" s="1" t="s">
        <v>33</v>
      </c>
      <c r="AA43" t="s">
        <v>34</v>
      </c>
      <c r="AB43" t="s">
        <v>35</v>
      </c>
      <c r="AD43" t="s">
        <v>36</v>
      </c>
      <c r="AE43" t="s">
        <v>37</v>
      </c>
      <c r="AF43" t="s">
        <v>38</v>
      </c>
    </row>
    <row r="44" spans="1:32" x14ac:dyDescent="0.2">
      <c r="A44">
        <v>41</v>
      </c>
      <c r="B44">
        <v>1</v>
      </c>
      <c r="C44">
        <v>1</v>
      </c>
      <c r="D44" s="1" t="s">
        <v>305</v>
      </c>
      <c r="I44" s="1" t="s">
        <v>306</v>
      </c>
      <c r="J44" s="1" t="s">
        <v>305</v>
      </c>
      <c r="K44" s="1" t="s">
        <v>307</v>
      </c>
      <c r="L44" s="1" t="s">
        <v>307</v>
      </c>
      <c r="M44" s="1" t="s">
        <v>307</v>
      </c>
      <c r="N44" s="1" t="s">
        <v>308</v>
      </c>
      <c r="O44">
        <v>53.047775625018403</v>
      </c>
      <c r="P44" t="s">
        <v>53</v>
      </c>
      <c r="Q44">
        <v>-1</v>
      </c>
      <c r="R44">
        <v>1</v>
      </c>
      <c r="S44">
        <v>1</v>
      </c>
      <c r="T44" s="1" t="s">
        <v>309</v>
      </c>
      <c r="Y44">
        <v>414938</v>
      </c>
      <c r="Z44" s="1" t="s">
        <v>33</v>
      </c>
      <c r="AA44" t="s">
        <v>34</v>
      </c>
      <c r="AB44" t="s">
        <v>35</v>
      </c>
      <c r="AD44" t="s">
        <v>36</v>
      </c>
      <c r="AE44" t="s">
        <v>37</v>
      </c>
      <c r="AF44" t="s">
        <v>38</v>
      </c>
    </row>
    <row r="45" spans="1:32" x14ac:dyDescent="0.2">
      <c r="A45">
        <v>42</v>
      </c>
      <c r="B45">
        <v>1</v>
      </c>
      <c r="C45">
        <v>1</v>
      </c>
      <c r="D45" s="1" t="s">
        <v>310</v>
      </c>
      <c r="I45" s="1" t="s">
        <v>311</v>
      </c>
      <c r="J45" s="1" t="s">
        <v>310</v>
      </c>
      <c r="K45">
        <v>53.5451866670046</v>
      </c>
      <c r="L45">
        <v>53.5451866670046</v>
      </c>
      <c r="M45" s="1" t="s">
        <v>312</v>
      </c>
      <c r="N45" s="1" t="s">
        <v>313</v>
      </c>
      <c r="O45" s="1" t="s">
        <v>314</v>
      </c>
      <c r="P45" t="s">
        <v>45</v>
      </c>
      <c r="Q45">
        <v>1</v>
      </c>
      <c r="R45">
        <v>1</v>
      </c>
      <c r="S45">
        <v>1</v>
      </c>
      <c r="T45" s="1" t="s">
        <v>315</v>
      </c>
      <c r="Y45">
        <v>414938</v>
      </c>
      <c r="Z45" s="1" t="s">
        <v>33</v>
      </c>
      <c r="AA45" t="s">
        <v>34</v>
      </c>
      <c r="AB45" t="s">
        <v>35</v>
      </c>
      <c r="AD45" t="s">
        <v>36</v>
      </c>
      <c r="AE45" t="s">
        <v>37</v>
      </c>
      <c r="AF45" t="s">
        <v>38</v>
      </c>
    </row>
    <row r="46" spans="1:32" x14ac:dyDescent="0.2">
      <c r="A46">
        <v>43</v>
      </c>
      <c r="B46">
        <v>1</v>
      </c>
      <c r="C46">
        <v>1</v>
      </c>
      <c r="D46" s="1" t="s">
        <v>316</v>
      </c>
      <c r="I46">
        <v>54.098377207992598</v>
      </c>
      <c r="J46" s="1" t="s">
        <v>316</v>
      </c>
      <c r="K46" s="1" t="s">
        <v>317</v>
      </c>
      <c r="L46" s="1" t="s">
        <v>317</v>
      </c>
      <c r="M46" s="1" t="s">
        <v>318</v>
      </c>
      <c r="N46" s="1" t="s">
        <v>319</v>
      </c>
      <c r="O46" s="1" t="s">
        <v>320</v>
      </c>
      <c r="P46" t="s">
        <v>45</v>
      </c>
      <c r="Q46">
        <v>1</v>
      </c>
      <c r="R46">
        <v>1</v>
      </c>
      <c r="S46">
        <v>1</v>
      </c>
      <c r="T46" s="1" t="s">
        <v>321</v>
      </c>
      <c r="Y46">
        <v>414938</v>
      </c>
      <c r="Z46" s="1" t="s">
        <v>33</v>
      </c>
      <c r="AA46" t="s">
        <v>34</v>
      </c>
      <c r="AB46" t="s">
        <v>35</v>
      </c>
      <c r="AD46" t="s">
        <v>36</v>
      </c>
      <c r="AE46" t="s">
        <v>37</v>
      </c>
      <c r="AF46" t="s">
        <v>38</v>
      </c>
    </row>
    <row r="47" spans="1:32" x14ac:dyDescent="0.2">
      <c r="A47">
        <v>44</v>
      </c>
      <c r="B47">
        <v>0.5</v>
      </c>
      <c r="C47">
        <v>1</v>
      </c>
      <c r="D47" s="1" t="s">
        <v>322</v>
      </c>
      <c r="I47" s="1" t="s">
        <v>323</v>
      </c>
      <c r="J47" s="1" t="s">
        <v>322</v>
      </c>
      <c r="K47" s="1" t="s">
        <v>324</v>
      </c>
      <c r="L47" s="1" t="s">
        <v>324</v>
      </c>
      <c r="M47" s="1" t="s">
        <v>325</v>
      </c>
      <c r="N47" s="1" t="s">
        <v>326</v>
      </c>
      <c r="O47" s="1" t="s">
        <v>327</v>
      </c>
      <c r="P47" t="s">
        <v>53</v>
      </c>
      <c r="Q47">
        <v>-1</v>
      </c>
      <c r="R47">
        <v>0</v>
      </c>
      <c r="S47">
        <v>0</v>
      </c>
      <c r="T47" s="1" t="s">
        <v>328</v>
      </c>
      <c r="Y47">
        <v>414938</v>
      </c>
      <c r="Z47" s="1" t="s">
        <v>33</v>
      </c>
      <c r="AA47" t="s">
        <v>34</v>
      </c>
      <c r="AB47" t="s">
        <v>35</v>
      </c>
      <c r="AD47" t="s">
        <v>36</v>
      </c>
      <c r="AE47" t="s">
        <v>37</v>
      </c>
      <c r="AF47" t="s">
        <v>38</v>
      </c>
    </row>
    <row r="48" spans="1:32" x14ac:dyDescent="0.2">
      <c r="A48">
        <v>45</v>
      </c>
      <c r="B48">
        <v>0.5</v>
      </c>
      <c r="C48">
        <v>1.5</v>
      </c>
      <c r="D48" s="1" t="s">
        <v>329</v>
      </c>
      <c r="I48" s="1" t="s">
        <v>330</v>
      </c>
      <c r="J48" s="1" t="s">
        <v>329</v>
      </c>
      <c r="K48" s="1" t="s">
        <v>331</v>
      </c>
      <c r="L48" s="1" t="s">
        <v>331</v>
      </c>
      <c r="M48" s="1" t="s">
        <v>332</v>
      </c>
      <c r="N48" s="1" t="s">
        <v>333</v>
      </c>
      <c r="O48" s="1" t="s">
        <v>334</v>
      </c>
      <c r="P48" t="s">
        <v>45</v>
      </c>
      <c r="Q48">
        <v>1.5</v>
      </c>
      <c r="R48">
        <v>1</v>
      </c>
      <c r="S48">
        <v>1</v>
      </c>
      <c r="T48" s="1" t="s">
        <v>335</v>
      </c>
      <c r="Y48">
        <v>414938</v>
      </c>
      <c r="Z48" s="1" t="s">
        <v>33</v>
      </c>
      <c r="AA48" t="s">
        <v>34</v>
      </c>
      <c r="AB48" t="s">
        <v>35</v>
      </c>
      <c r="AD48" t="s">
        <v>36</v>
      </c>
      <c r="AE48" t="s">
        <v>37</v>
      </c>
      <c r="AF48" t="s">
        <v>38</v>
      </c>
    </row>
    <row r="49" spans="1:32" x14ac:dyDescent="0.2">
      <c r="A49">
        <v>46</v>
      </c>
      <c r="B49">
        <v>0.5</v>
      </c>
      <c r="C49">
        <v>1.5</v>
      </c>
      <c r="D49" s="1" t="s">
        <v>336</v>
      </c>
      <c r="I49" s="1" t="s">
        <v>337</v>
      </c>
      <c r="J49" s="1" t="s">
        <v>336</v>
      </c>
      <c r="K49" s="1" t="s">
        <v>338</v>
      </c>
      <c r="L49" s="1" t="s">
        <v>338</v>
      </c>
      <c r="M49" s="1" t="s">
        <v>338</v>
      </c>
      <c r="N49" s="1" t="s">
        <v>339</v>
      </c>
      <c r="O49" s="1" t="s">
        <v>340</v>
      </c>
      <c r="P49" t="s">
        <v>45</v>
      </c>
      <c r="Q49">
        <v>1.5</v>
      </c>
      <c r="R49">
        <v>1</v>
      </c>
      <c r="S49">
        <v>1</v>
      </c>
      <c r="T49" s="1" t="s">
        <v>341</v>
      </c>
      <c r="Y49">
        <v>414938</v>
      </c>
      <c r="Z49" s="1" t="s">
        <v>33</v>
      </c>
      <c r="AA49" t="s">
        <v>34</v>
      </c>
      <c r="AB49" t="s">
        <v>35</v>
      </c>
      <c r="AD49" t="s">
        <v>36</v>
      </c>
      <c r="AE49" t="s">
        <v>37</v>
      </c>
      <c r="AF49" t="s">
        <v>38</v>
      </c>
    </row>
    <row r="50" spans="1:32" x14ac:dyDescent="0.2">
      <c r="A50">
        <v>47</v>
      </c>
      <c r="B50">
        <v>0.5</v>
      </c>
      <c r="C50">
        <v>1.5</v>
      </c>
      <c r="D50" s="1" t="s">
        <v>342</v>
      </c>
      <c r="I50" s="1" t="s">
        <v>343</v>
      </c>
      <c r="J50" s="1" t="s">
        <v>342</v>
      </c>
      <c r="K50" s="1" t="s">
        <v>344</v>
      </c>
      <c r="L50" s="1" t="s">
        <v>344</v>
      </c>
      <c r="M50" s="1" t="s">
        <v>345</v>
      </c>
      <c r="N50" s="1" t="s">
        <v>346</v>
      </c>
      <c r="O50" s="1" t="s">
        <v>347</v>
      </c>
      <c r="P50" t="s">
        <v>53</v>
      </c>
      <c r="Q50">
        <v>-1.5</v>
      </c>
      <c r="R50">
        <v>1</v>
      </c>
      <c r="S50">
        <v>1</v>
      </c>
      <c r="T50" s="1" t="s">
        <v>348</v>
      </c>
      <c r="Y50">
        <v>414938</v>
      </c>
      <c r="Z50" s="1" t="s">
        <v>33</v>
      </c>
      <c r="AA50" t="s">
        <v>34</v>
      </c>
      <c r="AB50" t="s">
        <v>35</v>
      </c>
      <c r="AD50" t="s">
        <v>36</v>
      </c>
      <c r="AE50" t="s">
        <v>37</v>
      </c>
      <c r="AF50" t="s">
        <v>38</v>
      </c>
    </row>
    <row r="51" spans="1:32" x14ac:dyDescent="0.2">
      <c r="A51">
        <v>48</v>
      </c>
      <c r="B51">
        <v>0.5</v>
      </c>
      <c r="C51">
        <v>1</v>
      </c>
      <c r="D51" s="1" t="s">
        <v>349</v>
      </c>
      <c r="I51" s="1" t="s">
        <v>350</v>
      </c>
      <c r="J51" s="1" t="s">
        <v>349</v>
      </c>
      <c r="K51" s="1" t="s">
        <v>351</v>
      </c>
      <c r="L51" s="1" t="s">
        <v>351</v>
      </c>
      <c r="M51" s="1" t="s">
        <v>351</v>
      </c>
      <c r="N51" s="1" t="s">
        <v>352</v>
      </c>
      <c r="O51">
        <v>60.884287749999203</v>
      </c>
      <c r="P51" t="s">
        <v>53</v>
      </c>
      <c r="Q51">
        <v>-1</v>
      </c>
      <c r="R51">
        <v>1</v>
      </c>
      <c r="S51">
        <v>1</v>
      </c>
      <c r="T51" s="1" t="s">
        <v>353</v>
      </c>
      <c r="Y51">
        <v>414938</v>
      </c>
      <c r="Z51" s="1" t="s">
        <v>33</v>
      </c>
      <c r="AA51" t="s">
        <v>34</v>
      </c>
      <c r="AB51" t="s">
        <v>35</v>
      </c>
      <c r="AD51" t="s">
        <v>36</v>
      </c>
      <c r="AE51" t="s">
        <v>37</v>
      </c>
      <c r="AF51" t="s">
        <v>38</v>
      </c>
    </row>
    <row r="52" spans="1:32" x14ac:dyDescent="0.2">
      <c r="A52">
        <v>49</v>
      </c>
      <c r="B52">
        <v>0.5</v>
      </c>
      <c r="C52">
        <v>1</v>
      </c>
      <c r="D52">
        <v>60.895231875008903</v>
      </c>
      <c r="I52" s="1" t="s">
        <v>354</v>
      </c>
      <c r="J52">
        <v>60.895231875008903</v>
      </c>
      <c r="K52" s="1" t="s">
        <v>355</v>
      </c>
      <c r="L52" s="1" t="s">
        <v>355</v>
      </c>
      <c r="M52" s="1" t="s">
        <v>355</v>
      </c>
      <c r="N52">
        <v>61.678858667029999</v>
      </c>
      <c r="O52" s="1" t="s">
        <v>356</v>
      </c>
      <c r="P52" t="s">
        <v>53</v>
      </c>
      <c r="Q52">
        <v>-1</v>
      </c>
      <c r="R52">
        <v>1</v>
      </c>
      <c r="S52">
        <v>1</v>
      </c>
      <c r="T52">
        <v>0.72050591593142599</v>
      </c>
      <c r="Y52">
        <v>414938</v>
      </c>
      <c r="Z52" s="1" t="s">
        <v>33</v>
      </c>
      <c r="AA52" t="s">
        <v>34</v>
      </c>
      <c r="AB52" t="s">
        <v>35</v>
      </c>
      <c r="AD52" t="s">
        <v>36</v>
      </c>
      <c r="AE52" t="s">
        <v>37</v>
      </c>
      <c r="AF52" t="s">
        <v>38</v>
      </c>
    </row>
    <row r="53" spans="1:32" x14ac:dyDescent="0.2">
      <c r="A53">
        <v>50</v>
      </c>
      <c r="B53">
        <v>0.5</v>
      </c>
      <c r="C53">
        <v>1</v>
      </c>
      <c r="D53" s="1" t="s">
        <v>357</v>
      </c>
      <c r="I53" s="1" t="s">
        <v>358</v>
      </c>
      <c r="J53" s="1" t="s">
        <v>357</v>
      </c>
      <c r="K53" s="1" t="s">
        <v>359</v>
      </c>
      <c r="L53" s="1" t="s">
        <v>359</v>
      </c>
      <c r="M53" s="1" t="s">
        <v>360</v>
      </c>
      <c r="N53" s="1" t="s">
        <v>361</v>
      </c>
      <c r="O53" s="1" t="s">
        <v>362</v>
      </c>
      <c r="P53" t="s">
        <v>45</v>
      </c>
      <c r="Q53">
        <v>1</v>
      </c>
      <c r="R53">
        <v>1</v>
      </c>
      <c r="S53">
        <v>1</v>
      </c>
      <c r="T53" s="1" t="s">
        <v>363</v>
      </c>
      <c r="Y53">
        <v>414938</v>
      </c>
      <c r="Z53" s="1" t="s">
        <v>33</v>
      </c>
      <c r="AA53" t="s">
        <v>34</v>
      </c>
      <c r="AB53" t="s">
        <v>35</v>
      </c>
      <c r="AD53" t="s">
        <v>36</v>
      </c>
      <c r="AE53" t="s">
        <v>37</v>
      </c>
      <c r="AF53" t="s">
        <v>38</v>
      </c>
    </row>
    <row r="54" spans="1:32" x14ac:dyDescent="0.2">
      <c r="A54">
        <v>51</v>
      </c>
      <c r="B54">
        <v>0.5</v>
      </c>
      <c r="C54">
        <v>1</v>
      </c>
      <c r="D54" s="1" t="s">
        <v>364</v>
      </c>
      <c r="I54" s="1" t="s">
        <v>365</v>
      </c>
      <c r="J54" s="1" t="s">
        <v>364</v>
      </c>
      <c r="K54" s="1" t="s">
        <v>366</v>
      </c>
      <c r="L54" s="1" t="s">
        <v>366</v>
      </c>
      <c r="M54" s="1" t="s">
        <v>366</v>
      </c>
      <c r="N54" s="1" t="s">
        <v>367</v>
      </c>
      <c r="O54">
        <v>64.580591083038598</v>
      </c>
      <c r="P54" t="s">
        <v>53</v>
      </c>
      <c r="Q54">
        <v>-1</v>
      </c>
      <c r="R54">
        <v>1</v>
      </c>
      <c r="S54">
        <v>1</v>
      </c>
      <c r="T54" s="1" t="s">
        <v>368</v>
      </c>
      <c r="Y54">
        <v>414938</v>
      </c>
      <c r="Z54" s="1" t="s">
        <v>33</v>
      </c>
      <c r="AA54" t="s">
        <v>34</v>
      </c>
      <c r="AB54" t="s">
        <v>35</v>
      </c>
      <c r="AD54" t="s">
        <v>36</v>
      </c>
      <c r="AE54" t="s">
        <v>37</v>
      </c>
      <c r="AF54" t="s">
        <v>38</v>
      </c>
    </row>
    <row r="55" spans="1:32" x14ac:dyDescent="0.2">
      <c r="A55">
        <v>52</v>
      </c>
      <c r="B55">
        <v>0.5</v>
      </c>
      <c r="C55">
        <v>1</v>
      </c>
      <c r="D55" s="1" t="s">
        <v>369</v>
      </c>
      <c r="I55">
        <v>64.580940083018504</v>
      </c>
      <c r="J55" s="1" t="s">
        <v>369</v>
      </c>
      <c r="K55" s="1" t="s">
        <v>370</v>
      </c>
      <c r="L55" s="1" t="s">
        <v>370</v>
      </c>
      <c r="M55" s="1" t="s">
        <v>371</v>
      </c>
      <c r="N55">
        <v>65.366275000036694</v>
      </c>
      <c r="O55" s="1" t="s">
        <v>372</v>
      </c>
      <c r="P55" t="s">
        <v>53</v>
      </c>
      <c r="Q55">
        <v>-1</v>
      </c>
      <c r="R55">
        <v>1</v>
      </c>
      <c r="S55">
        <v>1</v>
      </c>
      <c r="T55" s="1" t="s">
        <v>373</v>
      </c>
      <c r="Y55">
        <v>414938</v>
      </c>
      <c r="Z55" s="1" t="s">
        <v>33</v>
      </c>
      <c r="AA55" t="s">
        <v>34</v>
      </c>
      <c r="AB55" t="s">
        <v>35</v>
      </c>
      <c r="AD55" t="s">
        <v>36</v>
      </c>
      <c r="AE55" t="s">
        <v>37</v>
      </c>
      <c r="AF55" t="s">
        <v>38</v>
      </c>
    </row>
    <row r="56" spans="1:32" x14ac:dyDescent="0.2">
      <c r="A56">
        <v>53</v>
      </c>
      <c r="B56">
        <v>0.5</v>
      </c>
      <c r="C56">
        <v>1</v>
      </c>
      <c r="D56" s="1" t="s">
        <v>374</v>
      </c>
      <c r="I56" s="1" t="s">
        <v>375</v>
      </c>
      <c r="J56" s="1" t="s">
        <v>374</v>
      </c>
      <c r="K56" s="1" t="s">
        <v>376</v>
      </c>
      <c r="L56" s="1" t="s">
        <v>376</v>
      </c>
      <c r="M56" s="1" t="s">
        <v>377</v>
      </c>
      <c r="N56" s="1" t="s">
        <v>378</v>
      </c>
      <c r="O56" s="1" t="s">
        <v>379</v>
      </c>
      <c r="P56" t="s">
        <v>45</v>
      </c>
      <c r="Q56">
        <v>1</v>
      </c>
      <c r="R56">
        <v>1</v>
      </c>
      <c r="S56">
        <v>1</v>
      </c>
      <c r="T56">
        <v>0.76450383197516203</v>
      </c>
      <c r="Y56">
        <v>414938</v>
      </c>
      <c r="Z56" s="1" t="s">
        <v>33</v>
      </c>
      <c r="AA56" t="s">
        <v>34</v>
      </c>
      <c r="AB56" t="s">
        <v>35</v>
      </c>
      <c r="AD56" t="s">
        <v>36</v>
      </c>
      <c r="AE56" t="s">
        <v>37</v>
      </c>
      <c r="AF56" t="s">
        <v>38</v>
      </c>
    </row>
    <row r="57" spans="1:32" x14ac:dyDescent="0.2">
      <c r="A57">
        <v>54</v>
      </c>
      <c r="B57">
        <v>0.5</v>
      </c>
      <c r="C57">
        <v>1</v>
      </c>
      <c r="D57" s="1" t="s">
        <v>380</v>
      </c>
      <c r="I57" s="1" t="s">
        <v>381</v>
      </c>
      <c r="J57" s="1" t="s">
        <v>380</v>
      </c>
      <c r="K57" s="1" t="s">
        <v>382</v>
      </c>
      <c r="L57" s="1" t="s">
        <v>382</v>
      </c>
      <c r="M57" s="1" t="s">
        <v>383</v>
      </c>
      <c r="N57" s="1" t="s">
        <v>384</v>
      </c>
      <c r="O57" s="1" t="s">
        <v>385</v>
      </c>
      <c r="P57" t="s">
        <v>45</v>
      </c>
      <c r="Q57">
        <v>1</v>
      </c>
      <c r="R57">
        <v>1</v>
      </c>
      <c r="S57">
        <v>1</v>
      </c>
      <c r="T57" s="1" t="s">
        <v>386</v>
      </c>
      <c r="Y57">
        <v>414938</v>
      </c>
      <c r="Z57" s="1" t="s">
        <v>33</v>
      </c>
      <c r="AA57" t="s">
        <v>34</v>
      </c>
      <c r="AB57" t="s">
        <v>35</v>
      </c>
      <c r="AD57" t="s">
        <v>36</v>
      </c>
      <c r="AE57" t="s">
        <v>37</v>
      </c>
      <c r="AF57" t="s">
        <v>38</v>
      </c>
    </row>
    <row r="58" spans="1:32" x14ac:dyDescent="0.2">
      <c r="A58">
        <v>55</v>
      </c>
      <c r="B58">
        <v>0.5</v>
      </c>
      <c r="C58">
        <v>1</v>
      </c>
      <c r="D58" s="1" t="s">
        <v>387</v>
      </c>
      <c r="I58">
        <v>68.718807582976297</v>
      </c>
      <c r="J58" s="1" t="s">
        <v>387</v>
      </c>
      <c r="K58" s="1" t="s">
        <v>388</v>
      </c>
      <c r="L58" s="1" t="s">
        <v>388</v>
      </c>
      <c r="M58" s="1" t="s">
        <v>388</v>
      </c>
      <c r="N58">
        <v>69.516301958006807</v>
      </c>
      <c r="O58" s="1" t="s">
        <v>389</v>
      </c>
      <c r="P58" t="s">
        <v>45</v>
      </c>
      <c r="Q58">
        <v>1</v>
      </c>
      <c r="R58">
        <v>1</v>
      </c>
      <c r="S58">
        <v>1</v>
      </c>
      <c r="T58" s="1" t="s">
        <v>390</v>
      </c>
      <c r="Y58">
        <v>414938</v>
      </c>
      <c r="Z58" s="1" t="s">
        <v>33</v>
      </c>
      <c r="AA58" t="s">
        <v>34</v>
      </c>
      <c r="AB58" t="s">
        <v>35</v>
      </c>
      <c r="AD58" t="s">
        <v>36</v>
      </c>
      <c r="AE58" t="s">
        <v>37</v>
      </c>
      <c r="AF58" t="s">
        <v>38</v>
      </c>
    </row>
    <row r="59" spans="1:32" x14ac:dyDescent="0.2">
      <c r="A59">
        <v>56</v>
      </c>
      <c r="B59">
        <v>0.5</v>
      </c>
      <c r="C59">
        <v>1</v>
      </c>
      <c r="D59" s="1" t="s">
        <v>391</v>
      </c>
      <c r="I59" s="1" t="s">
        <v>392</v>
      </c>
      <c r="J59" s="1" t="s">
        <v>391</v>
      </c>
      <c r="K59" s="1" t="s">
        <v>393</v>
      </c>
      <c r="L59" s="1" t="s">
        <v>393</v>
      </c>
      <c r="M59" s="1" t="s">
        <v>394</v>
      </c>
      <c r="N59" s="1" t="s">
        <v>395</v>
      </c>
      <c r="O59" s="1" t="s">
        <v>396</v>
      </c>
      <c r="P59" t="s">
        <v>45</v>
      </c>
      <c r="Q59">
        <v>1</v>
      </c>
      <c r="R59">
        <v>1</v>
      </c>
      <c r="S59">
        <v>1</v>
      </c>
      <c r="T59" s="1" t="s">
        <v>397</v>
      </c>
      <c r="Y59">
        <v>414938</v>
      </c>
      <c r="Z59" s="1" t="s">
        <v>33</v>
      </c>
      <c r="AA59" t="s">
        <v>34</v>
      </c>
      <c r="AB59" t="s">
        <v>35</v>
      </c>
      <c r="AD59" t="s">
        <v>36</v>
      </c>
      <c r="AE59" t="s">
        <v>37</v>
      </c>
      <c r="AF59" t="s">
        <v>38</v>
      </c>
    </row>
    <row r="60" spans="1:32" x14ac:dyDescent="0.2">
      <c r="A60">
        <v>57</v>
      </c>
      <c r="B60">
        <v>0.5</v>
      </c>
      <c r="C60">
        <v>1</v>
      </c>
      <c r="D60" s="1" t="s">
        <v>398</v>
      </c>
      <c r="I60" s="1" t="s">
        <v>399</v>
      </c>
      <c r="J60" s="1" t="s">
        <v>398</v>
      </c>
      <c r="K60" s="1" t="s">
        <v>400</v>
      </c>
      <c r="L60" s="1" t="s">
        <v>400</v>
      </c>
      <c r="M60" s="1" t="s">
        <v>401</v>
      </c>
      <c r="N60" s="1" t="s">
        <v>402</v>
      </c>
      <c r="O60" s="1" t="s">
        <v>403</v>
      </c>
      <c r="P60" t="s">
        <v>45</v>
      </c>
      <c r="Q60">
        <v>1</v>
      </c>
      <c r="R60">
        <v>1</v>
      </c>
      <c r="S60">
        <v>1</v>
      </c>
      <c r="T60" s="1" t="s">
        <v>404</v>
      </c>
      <c r="Y60">
        <v>414938</v>
      </c>
      <c r="Z60" s="1" t="s">
        <v>33</v>
      </c>
      <c r="AA60" t="s">
        <v>34</v>
      </c>
      <c r="AB60" t="s">
        <v>35</v>
      </c>
      <c r="AD60" t="s">
        <v>36</v>
      </c>
      <c r="AE60" t="s">
        <v>37</v>
      </c>
      <c r="AF60" t="s">
        <v>38</v>
      </c>
    </row>
    <row r="61" spans="1:32" x14ac:dyDescent="0.2">
      <c r="A61">
        <v>58</v>
      </c>
      <c r="B61">
        <v>0.5</v>
      </c>
      <c r="C61">
        <v>1</v>
      </c>
      <c r="D61" s="1" t="s">
        <v>405</v>
      </c>
      <c r="I61" s="1" t="s">
        <v>406</v>
      </c>
      <c r="J61" s="1" t="s">
        <v>405</v>
      </c>
      <c r="K61" s="1" t="s">
        <v>407</v>
      </c>
      <c r="L61" s="1" t="s">
        <v>407</v>
      </c>
      <c r="M61" s="1" t="s">
        <v>408</v>
      </c>
      <c r="N61" s="1" t="s">
        <v>409</v>
      </c>
      <c r="O61" s="1" t="s">
        <v>410</v>
      </c>
      <c r="P61" t="s">
        <v>45</v>
      </c>
      <c r="Q61">
        <v>1</v>
      </c>
      <c r="R61">
        <v>1</v>
      </c>
      <c r="S61">
        <v>1</v>
      </c>
      <c r="T61" s="1" t="s">
        <v>411</v>
      </c>
      <c r="Y61">
        <v>414938</v>
      </c>
      <c r="Z61" s="1" t="s">
        <v>33</v>
      </c>
      <c r="AA61" t="s">
        <v>34</v>
      </c>
      <c r="AB61" t="s">
        <v>35</v>
      </c>
      <c r="AD61" t="s">
        <v>36</v>
      </c>
      <c r="AE61" t="s">
        <v>37</v>
      </c>
      <c r="AF61" t="s">
        <v>38</v>
      </c>
    </row>
    <row r="62" spans="1:32" x14ac:dyDescent="0.2">
      <c r="A62">
        <v>59</v>
      </c>
      <c r="B62">
        <v>0.5</v>
      </c>
      <c r="C62">
        <v>1</v>
      </c>
      <c r="D62" s="1" t="s">
        <v>412</v>
      </c>
      <c r="I62" s="1" t="s">
        <v>413</v>
      </c>
      <c r="J62" s="1" t="s">
        <v>412</v>
      </c>
      <c r="K62" s="1" t="s">
        <v>414</v>
      </c>
      <c r="L62" s="1" t="s">
        <v>414</v>
      </c>
      <c r="M62" s="1" t="s">
        <v>415</v>
      </c>
      <c r="N62">
        <v>73.899748750030994</v>
      </c>
      <c r="O62">
        <v>74.500906458008103</v>
      </c>
      <c r="P62" t="s">
        <v>53</v>
      </c>
      <c r="Q62">
        <v>-1</v>
      </c>
      <c r="R62">
        <v>1</v>
      </c>
      <c r="S62">
        <v>1</v>
      </c>
      <c r="T62" s="1" t="s">
        <v>416</v>
      </c>
      <c r="Y62">
        <v>414938</v>
      </c>
      <c r="Z62" s="1" t="s">
        <v>33</v>
      </c>
      <c r="AA62" t="s">
        <v>34</v>
      </c>
      <c r="AB62" t="s">
        <v>35</v>
      </c>
      <c r="AD62" t="s">
        <v>36</v>
      </c>
      <c r="AE62" t="s">
        <v>37</v>
      </c>
      <c r="AF62" t="s">
        <v>38</v>
      </c>
    </row>
    <row r="63" spans="1:32" x14ac:dyDescent="0.2">
      <c r="A63">
        <v>60</v>
      </c>
      <c r="B63">
        <v>0.5</v>
      </c>
      <c r="C63">
        <v>1</v>
      </c>
      <c r="D63" s="1" t="s">
        <v>417</v>
      </c>
      <c r="I63">
        <v>74.501244041952305</v>
      </c>
      <c r="J63" s="1" t="s">
        <v>417</v>
      </c>
      <c r="K63" s="1" t="s">
        <v>418</v>
      </c>
      <c r="L63" s="1" t="s">
        <v>418</v>
      </c>
      <c r="M63" s="1" t="s">
        <v>418</v>
      </c>
      <c r="N63" s="1" t="s">
        <v>419</v>
      </c>
      <c r="O63" s="1" t="s">
        <v>420</v>
      </c>
      <c r="P63" t="s">
        <v>45</v>
      </c>
      <c r="Q63">
        <v>1</v>
      </c>
      <c r="R63">
        <v>1</v>
      </c>
      <c r="S63">
        <v>1</v>
      </c>
      <c r="T63" s="1" t="s">
        <v>421</v>
      </c>
      <c r="Y63">
        <v>414938</v>
      </c>
      <c r="Z63" s="1" t="s">
        <v>33</v>
      </c>
      <c r="AA63" t="s">
        <v>34</v>
      </c>
      <c r="AB63" t="s">
        <v>35</v>
      </c>
      <c r="AD63" t="s">
        <v>36</v>
      </c>
      <c r="AE63" t="s">
        <v>37</v>
      </c>
      <c r="AF63" t="s">
        <v>38</v>
      </c>
    </row>
    <row r="64" spans="1:32" x14ac:dyDescent="0.2">
      <c r="A64">
        <v>61</v>
      </c>
      <c r="B64">
        <v>0.5</v>
      </c>
      <c r="C64">
        <v>1</v>
      </c>
      <c r="D64" s="1" t="s">
        <v>422</v>
      </c>
      <c r="I64" s="1" t="s">
        <v>423</v>
      </c>
      <c r="J64" s="1" t="s">
        <v>422</v>
      </c>
      <c r="K64" s="1" t="s">
        <v>424</v>
      </c>
      <c r="L64" s="1" t="s">
        <v>424</v>
      </c>
      <c r="M64" s="1" t="s">
        <v>425</v>
      </c>
      <c r="N64" s="1" t="s">
        <v>426</v>
      </c>
      <c r="O64" s="1" t="s">
        <v>427</v>
      </c>
      <c r="P64" t="s">
        <v>53</v>
      </c>
      <c r="Q64">
        <v>-1</v>
      </c>
      <c r="R64">
        <v>1</v>
      </c>
      <c r="S64">
        <v>1</v>
      </c>
      <c r="T64" s="1" t="s">
        <v>428</v>
      </c>
      <c r="Y64">
        <v>414938</v>
      </c>
      <c r="Z64" s="1" t="s">
        <v>33</v>
      </c>
      <c r="AA64" t="s">
        <v>34</v>
      </c>
      <c r="AB64" t="s">
        <v>35</v>
      </c>
      <c r="AD64" t="s">
        <v>36</v>
      </c>
      <c r="AE64" t="s">
        <v>37</v>
      </c>
      <c r="AF64" t="s">
        <v>38</v>
      </c>
    </row>
    <row r="65" spans="1:32" x14ac:dyDescent="0.2">
      <c r="A65">
        <v>62</v>
      </c>
      <c r="B65">
        <v>0.5</v>
      </c>
      <c r="C65">
        <v>1</v>
      </c>
      <c r="D65" s="1" t="s">
        <v>429</v>
      </c>
      <c r="I65">
        <v>77.248310999944806</v>
      </c>
      <c r="J65" s="1" t="s">
        <v>429</v>
      </c>
      <c r="K65" s="1" t="s">
        <v>430</v>
      </c>
      <c r="L65" s="1" t="s">
        <v>430</v>
      </c>
      <c r="M65" s="1" t="s">
        <v>431</v>
      </c>
      <c r="N65" s="1" t="s">
        <v>432</v>
      </c>
      <c r="O65" s="1" t="s">
        <v>433</v>
      </c>
      <c r="P65" t="s">
        <v>53</v>
      </c>
      <c r="Q65">
        <v>-1</v>
      </c>
      <c r="R65">
        <v>1</v>
      </c>
      <c r="S65">
        <v>1</v>
      </c>
      <c r="T65" s="1" t="s">
        <v>434</v>
      </c>
      <c r="Y65">
        <v>414938</v>
      </c>
      <c r="Z65" s="1" t="s">
        <v>33</v>
      </c>
      <c r="AA65" t="s">
        <v>34</v>
      </c>
      <c r="AB65" t="s">
        <v>35</v>
      </c>
      <c r="AD65" t="s">
        <v>36</v>
      </c>
      <c r="AE65" t="s">
        <v>37</v>
      </c>
      <c r="AF65" t="s">
        <v>38</v>
      </c>
    </row>
    <row r="66" spans="1:32" x14ac:dyDescent="0.2">
      <c r="A66">
        <v>63</v>
      </c>
      <c r="B66">
        <v>0.5</v>
      </c>
      <c r="C66">
        <v>1</v>
      </c>
      <c r="D66" s="1" t="s">
        <v>435</v>
      </c>
      <c r="I66" s="1" t="s">
        <v>436</v>
      </c>
      <c r="J66" s="1" t="s">
        <v>435</v>
      </c>
      <c r="K66" s="1" t="s">
        <v>437</v>
      </c>
      <c r="L66" s="1" t="s">
        <v>437</v>
      </c>
      <c r="M66" s="1" t="s">
        <v>437</v>
      </c>
      <c r="N66" s="1" t="s">
        <v>438</v>
      </c>
      <c r="O66" s="1" t="s">
        <v>439</v>
      </c>
      <c r="P66" t="s">
        <v>53</v>
      </c>
      <c r="Q66">
        <v>-1</v>
      </c>
      <c r="R66">
        <v>1</v>
      </c>
      <c r="S66">
        <v>1</v>
      </c>
      <c r="T66" s="1" t="s">
        <v>440</v>
      </c>
      <c r="Y66">
        <v>414938</v>
      </c>
      <c r="Z66" s="1" t="s">
        <v>33</v>
      </c>
      <c r="AA66" t="s">
        <v>34</v>
      </c>
      <c r="AB66" t="s">
        <v>35</v>
      </c>
      <c r="AD66" t="s">
        <v>36</v>
      </c>
      <c r="AE66" t="s">
        <v>37</v>
      </c>
      <c r="AF66" t="s">
        <v>38</v>
      </c>
    </row>
    <row r="67" spans="1:32" x14ac:dyDescent="0.2">
      <c r="A67">
        <v>64</v>
      </c>
      <c r="B67">
        <v>0.5</v>
      </c>
      <c r="C67">
        <v>1</v>
      </c>
      <c r="D67" s="1" t="s">
        <v>441</v>
      </c>
      <c r="I67" s="1" t="s">
        <v>442</v>
      </c>
      <c r="J67" s="1" t="s">
        <v>441</v>
      </c>
      <c r="K67" s="1" t="s">
        <v>443</v>
      </c>
      <c r="L67" s="1" t="s">
        <v>443</v>
      </c>
      <c r="M67" s="1" t="s">
        <v>444</v>
      </c>
      <c r="N67" s="1" t="s">
        <v>445</v>
      </c>
      <c r="O67" s="1" t="s">
        <v>446</v>
      </c>
      <c r="P67" t="s">
        <v>53</v>
      </c>
      <c r="Q67">
        <v>-1</v>
      </c>
      <c r="R67">
        <v>1</v>
      </c>
      <c r="S67">
        <v>1</v>
      </c>
      <c r="T67" s="1" t="s">
        <v>447</v>
      </c>
      <c r="Y67">
        <v>414938</v>
      </c>
      <c r="Z67" s="1" t="s">
        <v>33</v>
      </c>
      <c r="AA67" t="s">
        <v>34</v>
      </c>
      <c r="AB67" t="s">
        <v>35</v>
      </c>
      <c r="AD67" t="s">
        <v>36</v>
      </c>
      <c r="AE67" t="s">
        <v>37</v>
      </c>
      <c r="AF67" t="s">
        <v>38</v>
      </c>
    </row>
    <row r="68" spans="1:32" x14ac:dyDescent="0.2">
      <c r="A68">
        <v>65</v>
      </c>
      <c r="B68">
        <v>0.5</v>
      </c>
      <c r="C68">
        <v>1</v>
      </c>
      <c r="D68" s="1" t="s">
        <v>448</v>
      </c>
      <c r="I68" s="1" t="s">
        <v>449</v>
      </c>
      <c r="J68" s="1" t="s">
        <v>448</v>
      </c>
      <c r="K68" s="1" t="s">
        <v>450</v>
      </c>
      <c r="L68" s="1" t="s">
        <v>450</v>
      </c>
      <c r="M68" s="1" t="s">
        <v>450</v>
      </c>
      <c r="N68" s="1" t="s">
        <v>451</v>
      </c>
      <c r="O68" s="1" t="s">
        <v>452</v>
      </c>
      <c r="P68" t="s">
        <v>45</v>
      </c>
      <c r="Q68">
        <v>1</v>
      </c>
      <c r="R68">
        <v>1</v>
      </c>
      <c r="S68">
        <v>1</v>
      </c>
      <c r="T68" s="1" t="s">
        <v>453</v>
      </c>
      <c r="Y68">
        <v>414938</v>
      </c>
      <c r="Z68" s="1" t="s">
        <v>33</v>
      </c>
      <c r="AA68" t="s">
        <v>34</v>
      </c>
      <c r="AB68" t="s">
        <v>35</v>
      </c>
      <c r="AD68" t="s">
        <v>36</v>
      </c>
      <c r="AE68" t="s">
        <v>37</v>
      </c>
      <c r="AF68" t="s">
        <v>38</v>
      </c>
    </row>
    <row r="69" spans="1:32" x14ac:dyDescent="0.2">
      <c r="A69">
        <v>66</v>
      </c>
      <c r="B69">
        <v>0.5</v>
      </c>
      <c r="C69">
        <v>1</v>
      </c>
      <c r="D69" s="1" t="s">
        <v>454</v>
      </c>
      <c r="I69" s="1" t="s">
        <v>455</v>
      </c>
      <c r="J69" s="1" t="s">
        <v>454</v>
      </c>
      <c r="K69">
        <v>82.779413167038001</v>
      </c>
      <c r="L69">
        <v>82.779413167038001</v>
      </c>
      <c r="M69" s="1" t="s">
        <v>456</v>
      </c>
      <c r="N69">
        <v>83.066815958009101</v>
      </c>
      <c r="O69" s="1" t="s">
        <v>457</v>
      </c>
      <c r="P69" t="s">
        <v>53</v>
      </c>
      <c r="Q69">
        <v>-1</v>
      </c>
      <c r="R69">
        <v>1</v>
      </c>
      <c r="S69">
        <v>1</v>
      </c>
      <c r="T69">
        <v>0.58300537406466901</v>
      </c>
      <c r="Y69">
        <v>414938</v>
      </c>
      <c r="Z69" s="1" t="s">
        <v>33</v>
      </c>
      <c r="AA69" t="s">
        <v>34</v>
      </c>
      <c r="AB69" t="s">
        <v>35</v>
      </c>
      <c r="AD69" t="s">
        <v>36</v>
      </c>
      <c r="AE69" t="s">
        <v>37</v>
      </c>
      <c r="AF69" t="s">
        <v>38</v>
      </c>
    </row>
    <row r="70" spans="1:32" x14ac:dyDescent="0.2">
      <c r="A70">
        <v>67</v>
      </c>
      <c r="B70">
        <v>0.5</v>
      </c>
      <c r="C70">
        <v>1</v>
      </c>
      <c r="D70" s="1" t="s">
        <v>458</v>
      </c>
      <c r="I70" s="1" t="s">
        <v>459</v>
      </c>
      <c r="J70" s="1" t="s">
        <v>458</v>
      </c>
      <c r="K70" s="1" t="s">
        <v>460</v>
      </c>
      <c r="L70" s="1" t="s">
        <v>460</v>
      </c>
      <c r="M70" s="1" t="s">
        <v>461</v>
      </c>
      <c r="N70">
        <v>84.150034875026904</v>
      </c>
      <c r="O70" s="1" t="s">
        <v>462</v>
      </c>
      <c r="P70" t="s">
        <v>45</v>
      </c>
      <c r="Q70">
        <v>1</v>
      </c>
      <c r="R70">
        <v>1</v>
      </c>
      <c r="S70">
        <v>1</v>
      </c>
      <c r="T70" s="1" t="s">
        <v>463</v>
      </c>
      <c r="Y70">
        <v>414938</v>
      </c>
      <c r="Z70" s="1" t="s">
        <v>33</v>
      </c>
      <c r="AA70" t="s">
        <v>34</v>
      </c>
      <c r="AB70" t="s">
        <v>35</v>
      </c>
      <c r="AD70" t="s">
        <v>36</v>
      </c>
      <c r="AE70" t="s">
        <v>37</v>
      </c>
      <c r="AF70" t="s">
        <v>38</v>
      </c>
    </row>
    <row r="71" spans="1:32" x14ac:dyDescent="0.2">
      <c r="A71">
        <v>68</v>
      </c>
      <c r="B71">
        <v>0.5</v>
      </c>
      <c r="C71">
        <v>1</v>
      </c>
      <c r="D71" s="1" t="s">
        <v>464</v>
      </c>
      <c r="I71" s="1" t="s">
        <v>465</v>
      </c>
      <c r="J71" s="1" t="s">
        <v>464</v>
      </c>
      <c r="K71" s="1" t="s">
        <v>466</v>
      </c>
      <c r="L71" s="1" t="s">
        <v>466</v>
      </c>
      <c r="M71" s="1" t="s">
        <v>467</v>
      </c>
      <c r="N71" s="1" t="s">
        <v>468</v>
      </c>
      <c r="O71" s="1" t="s">
        <v>469</v>
      </c>
      <c r="P71" t="s">
        <v>53</v>
      </c>
      <c r="Q71">
        <v>-1</v>
      </c>
      <c r="R71">
        <v>1</v>
      </c>
      <c r="S71">
        <v>1</v>
      </c>
      <c r="T71" s="1" t="s">
        <v>470</v>
      </c>
      <c r="Y71">
        <v>414938</v>
      </c>
      <c r="Z71" s="1" t="s">
        <v>33</v>
      </c>
      <c r="AA71" t="s">
        <v>34</v>
      </c>
      <c r="AB71" t="s">
        <v>35</v>
      </c>
      <c r="AD71" t="s">
        <v>36</v>
      </c>
      <c r="AE71" t="s">
        <v>37</v>
      </c>
      <c r="AF71" t="s">
        <v>38</v>
      </c>
    </row>
    <row r="72" spans="1:32" x14ac:dyDescent="0.2">
      <c r="A72">
        <v>69</v>
      </c>
      <c r="B72">
        <v>0.5</v>
      </c>
      <c r="C72">
        <v>1</v>
      </c>
      <c r="D72" s="1" t="s">
        <v>471</v>
      </c>
      <c r="I72" s="1" t="s">
        <v>472</v>
      </c>
      <c r="J72" s="1" t="s">
        <v>471</v>
      </c>
      <c r="K72" s="1" t="s">
        <v>473</v>
      </c>
      <c r="L72" s="1" t="s">
        <v>473</v>
      </c>
      <c r="M72" s="1" t="s">
        <v>473</v>
      </c>
      <c r="N72" s="1" t="s">
        <v>474</v>
      </c>
      <c r="O72" s="1" t="s">
        <v>475</v>
      </c>
      <c r="P72" t="s">
        <v>45</v>
      </c>
      <c r="Q72">
        <v>1</v>
      </c>
      <c r="R72">
        <v>1</v>
      </c>
      <c r="S72">
        <v>1</v>
      </c>
      <c r="T72" s="1" t="s">
        <v>476</v>
      </c>
      <c r="Y72">
        <v>414938</v>
      </c>
      <c r="Z72" s="1" t="s">
        <v>33</v>
      </c>
      <c r="AA72" t="s">
        <v>34</v>
      </c>
      <c r="AB72" t="s">
        <v>35</v>
      </c>
      <c r="AD72" t="s">
        <v>36</v>
      </c>
      <c r="AE72" t="s">
        <v>37</v>
      </c>
      <c r="AF72" t="s">
        <v>38</v>
      </c>
    </row>
    <row r="73" spans="1:32" x14ac:dyDescent="0.2">
      <c r="A73">
        <v>70</v>
      </c>
      <c r="B73">
        <v>0.5</v>
      </c>
      <c r="C73">
        <v>1</v>
      </c>
      <c r="D73" s="1" t="s">
        <v>477</v>
      </c>
      <c r="I73">
        <v>86.715292374952696</v>
      </c>
      <c r="J73" s="1" t="s">
        <v>477</v>
      </c>
      <c r="K73" s="1" t="s">
        <v>478</v>
      </c>
      <c r="L73" s="1" t="s">
        <v>478</v>
      </c>
      <c r="M73" s="1" t="s">
        <v>479</v>
      </c>
      <c r="N73" s="1" t="s">
        <v>480</v>
      </c>
      <c r="O73" s="1" t="s">
        <v>481</v>
      </c>
      <c r="P73" t="s">
        <v>53</v>
      </c>
      <c r="Q73">
        <v>-1</v>
      </c>
      <c r="R73">
        <v>1</v>
      </c>
      <c r="S73">
        <v>1</v>
      </c>
      <c r="T73" s="1" t="s">
        <v>482</v>
      </c>
      <c r="Y73">
        <v>414938</v>
      </c>
      <c r="Z73" s="1" t="s">
        <v>33</v>
      </c>
      <c r="AA73" t="s">
        <v>34</v>
      </c>
      <c r="AB73" t="s">
        <v>35</v>
      </c>
      <c r="AD73" t="s">
        <v>36</v>
      </c>
      <c r="AE73" t="s">
        <v>37</v>
      </c>
      <c r="AF73" t="s">
        <v>38</v>
      </c>
    </row>
    <row r="74" spans="1:32" x14ac:dyDescent="0.2">
      <c r="A74">
        <v>71</v>
      </c>
      <c r="B74">
        <v>0.5</v>
      </c>
      <c r="C74">
        <v>1</v>
      </c>
      <c r="D74" s="1" t="s">
        <v>483</v>
      </c>
      <c r="I74" s="1" t="s">
        <v>484</v>
      </c>
      <c r="J74" s="1" t="s">
        <v>483</v>
      </c>
      <c r="K74" s="1" t="s">
        <v>485</v>
      </c>
      <c r="L74" s="1" t="s">
        <v>485</v>
      </c>
      <c r="M74" s="1" t="s">
        <v>485</v>
      </c>
      <c r="N74" s="1" t="s">
        <v>486</v>
      </c>
      <c r="O74" s="1" t="s">
        <v>487</v>
      </c>
      <c r="P74" t="s">
        <v>45</v>
      </c>
      <c r="Q74">
        <v>1</v>
      </c>
      <c r="R74">
        <v>0</v>
      </c>
      <c r="S74">
        <v>0</v>
      </c>
      <c r="T74" s="1" t="s">
        <v>488</v>
      </c>
      <c r="Y74">
        <v>414938</v>
      </c>
      <c r="Z74" s="1" t="s">
        <v>33</v>
      </c>
      <c r="AA74" t="s">
        <v>34</v>
      </c>
      <c r="AB74" t="s">
        <v>35</v>
      </c>
      <c r="AD74" t="s">
        <v>36</v>
      </c>
      <c r="AE74" t="s">
        <v>37</v>
      </c>
      <c r="AF74" t="s">
        <v>38</v>
      </c>
    </row>
    <row r="75" spans="1:32" x14ac:dyDescent="0.2">
      <c r="A75">
        <v>72</v>
      </c>
      <c r="B75">
        <v>0.5</v>
      </c>
      <c r="C75">
        <v>1.5</v>
      </c>
      <c r="D75" s="1" t="s">
        <v>489</v>
      </c>
      <c r="I75" s="1" t="s">
        <v>490</v>
      </c>
      <c r="J75" s="1" t="s">
        <v>489</v>
      </c>
      <c r="K75">
        <v>89.396397041971795</v>
      </c>
      <c r="L75">
        <v>89.396397041971795</v>
      </c>
      <c r="M75" s="1" t="s">
        <v>491</v>
      </c>
      <c r="N75" s="1" t="s">
        <v>492</v>
      </c>
      <c r="O75" s="1" t="s">
        <v>493</v>
      </c>
      <c r="P75" t="s">
        <v>45</v>
      </c>
      <c r="Q75">
        <v>1.5</v>
      </c>
      <c r="R75">
        <v>0</v>
      </c>
      <c r="S75">
        <v>0</v>
      </c>
      <c r="T75" s="1" t="s">
        <v>494</v>
      </c>
      <c r="Y75">
        <v>414938</v>
      </c>
      <c r="Z75" s="1" t="s">
        <v>33</v>
      </c>
      <c r="AA75" t="s">
        <v>34</v>
      </c>
      <c r="AB75" t="s">
        <v>35</v>
      </c>
      <c r="AD75" t="s">
        <v>36</v>
      </c>
      <c r="AE75" t="s">
        <v>37</v>
      </c>
      <c r="AF75" t="s">
        <v>38</v>
      </c>
    </row>
    <row r="76" spans="1:32" x14ac:dyDescent="0.2">
      <c r="A76">
        <v>73</v>
      </c>
      <c r="B76">
        <v>0.5</v>
      </c>
      <c r="C76">
        <v>2</v>
      </c>
      <c r="D76" s="1" t="s">
        <v>495</v>
      </c>
      <c r="I76" s="1" t="s">
        <v>496</v>
      </c>
      <c r="J76" s="1" t="s">
        <v>495</v>
      </c>
      <c r="K76" s="1" t="s">
        <v>497</v>
      </c>
      <c r="L76" s="1" t="s">
        <v>497</v>
      </c>
      <c r="M76" s="1" t="s">
        <v>497</v>
      </c>
      <c r="N76" s="1" t="s">
        <v>498</v>
      </c>
      <c r="O76" s="1" t="s">
        <v>499</v>
      </c>
      <c r="P76" t="s">
        <v>45</v>
      </c>
      <c r="Q76">
        <v>2</v>
      </c>
      <c r="R76">
        <v>1</v>
      </c>
      <c r="S76">
        <v>1</v>
      </c>
      <c r="T76" s="1" t="s">
        <v>500</v>
      </c>
      <c r="Y76">
        <v>414938</v>
      </c>
      <c r="Z76" s="1" t="s">
        <v>33</v>
      </c>
      <c r="AA76" t="s">
        <v>34</v>
      </c>
      <c r="AB76" t="s">
        <v>35</v>
      </c>
      <c r="AD76" t="s">
        <v>36</v>
      </c>
      <c r="AE76" t="s">
        <v>37</v>
      </c>
      <c r="AF76" t="s">
        <v>38</v>
      </c>
    </row>
    <row r="77" spans="1:32" x14ac:dyDescent="0.2">
      <c r="A77">
        <v>74</v>
      </c>
      <c r="B77">
        <v>0.5</v>
      </c>
      <c r="C77">
        <v>2</v>
      </c>
      <c r="D77" s="1" t="s">
        <v>501</v>
      </c>
      <c r="I77" s="1" t="s">
        <v>502</v>
      </c>
      <c r="J77" s="1" t="s">
        <v>501</v>
      </c>
      <c r="K77" s="1" t="s">
        <v>503</v>
      </c>
      <c r="L77" s="1" t="s">
        <v>503</v>
      </c>
      <c r="M77" s="1" t="s">
        <v>504</v>
      </c>
      <c r="N77" s="1" t="s">
        <v>505</v>
      </c>
      <c r="O77" s="1" t="s">
        <v>506</v>
      </c>
      <c r="P77" t="s">
        <v>53</v>
      </c>
      <c r="Q77">
        <v>-2</v>
      </c>
      <c r="R77">
        <v>1</v>
      </c>
      <c r="S77">
        <v>1</v>
      </c>
      <c r="T77">
        <v>0.85671145806554705</v>
      </c>
      <c r="Y77">
        <v>414938</v>
      </c>
      <c r="Z77" s="1" t="s">
        <v>33</v>
      </c>
      <c r="AA77" t="s">
        <v>34</v>
      </c>
      <c r="AB77" t="s">
        <v>35</v>
      </c>
      <c r="AD77" t="s">
        <v>36</v>
      </c>
      <c r="AE77" t="s">
        <v>37</v>
      </c>
      <c r="AF77" t="s">
        <v>38</v>
      </c>
    </row>
    <row r="78" spans="1:32" x14ac:dyDescent="0.2">
      <c r="A78">
        <v>75</v>
      </c>
      <c r="B78">
        <v>0.5</v>
      </c>
      <c r="C78">
        <v>2</v>
      </c>
      <c r="D78" s="1" t="s">
        <v>507</v>
      </c>
      <c r="I78" s="1" t="s">
        <v>508</v>
      </c>
      <c r="J78" s="1" t="s">
        <v>507</v>
      </c>
      <c r="K78" s="1" t="s">
        <v>509</v>
      </c>
      <c r="L78" s="1" t="s">
        <v>509</v>
      </c>
      <c r="M78">
        <v>92.800520041957498</v>
      </c>
      <c r="N78" s="1" t="s">
        <v>510</v>
      </c>
      <c r="O78" s="1" t="s">
        <v>511</v>
      </c>
      <c r="P78" t="s">
        <v>53</v>
      </c>
      <c r="Q78">
        <v>-2</v>
      </c>
      <c r="R78">
        <v>1</v>
      </c>
      <c r="S78">
        <v>1</v>
      </c>
      <c r="T78" s="1" t="s">
        <v>512</v>
      </c>
      <c r="Y78">
        <v>414938</v>
      </c>
      <c r="Z78" s="1" t="s">
        <v>33</v>
      </c>
      <c r="AA78" t="s">
        <v>34</v>
      </c>
      <c r="AB78" t="s">
        <v>35</v>
      </c>
      <c r="AD78" t="s">
        <v>36</v>
      </c>
      <c r="AE78" t="s">
        <v>37</v>
      </c>
      <c r="AF78" t="s">
        <v>38</v>
      </c>
    </row>
    <row r="79" spans="1:32" x14ac:dyDescent="0.2">
      <c r="A79">
        <v>76</v>
      </c>
      <c r="B79">
        <v>0.5</v>
      </c>
      <c r="C79">
        <v>1.5</v>
      </c>
      <c r="D79" s="1" t="s">
        <v>513</v>
      </c>
      <c r="I79" s="1" t="s">
        <v>514</v>
      </c>
      <c r="J79" s="1" t="s">
        <v>513</v>
      </c>
      <c r="K79" s="1" t="s">
        <v>515</v>
      </c>
      <c r="L79" s="1" t="s">
        <v>515</v>
      </c>
      <c r="M79" s="1" t="s">
        <v>515</v>
      </c>
      <c r="N79" s="1" t="s">
        <v>516</v>
      </c>
      <c r="O79" s="1" t="s">
        <v>517</v>
      </c>
      <c r="P79" t="s">
        <v>45</v>
      </c>
      <c r="Q79">
        <v>1.5</v>
      </c>
      <c r="R79">
        <v>1</v>
      </c>
      <c r="S79">
        <v>1</v>
      </c>
      <c r="T79">
        <v>0.66102245799265802</v>
      </c>
      <c r="Y79">
        <v>414938</v>
      </c>
      <c r="Z79" s="1" t="s">
        <v>33</v>
      </c>
      <c r="AA79" t="s">
        <v>34</v>
      </c>
      <c r="AB79" t="s">
        <v>35</v>
      </c>
      <c r="AD79" t="s">
        <v>36</v>
      </c>
      <c r="AE79" t="s">
        <v>37</v>
      </c>
      <c r="AF79" t="s">
        <v>38</v>
      </c>
    </row>
    <row r="80" spans="1:32" x14ac:dyDescent="0.2">
      <c r="A80">
        <v>77</v>
      </c>
      <c r="B80">
        <v>0.5</v>
      </c>
      <c r="C80">
        <v>1.5</v>
      </c>
      <c r="D80" s="1" t="s">
        <v>518</v>
      </c>
      <c r="I80" s="1" t="s">
        <v>519</v>
      </c>
      <c r="J80" s="1" t="s">
        <v>518</v>
      </c>
      <c r="K80" s="1" t="s">
        <v>520</v>
      </c>
      <c r="L80" s="1" t="s">
        <v>520</v>
      </c>
      <c r="M80" s="1" t="s">
        <v>521</v>
      </c>
      <c r="N80">
        <v>95.333811249933206</v>
      </c>
      <c r="O80" s="1" t="s">
        <v>522</v>
      </c>
      <c r="P80" t="s">
        <v>53</v>
      </c>
      <c r="Q80">
        <v>-1.5</v>
      </c>
      <c r="R80">
        <v>1</v>
      </c>
      <c r="S80">
        <v>1</v>
      </c>
      <c r="T80" s="1" t="s">
        <v>523</v>
      </c>
      <c r="Y80">
        <v>414938</v>
      </c>
      <c r="Z80" s="1" t="s">
        <v>33</v>
      </c>
      <c r="AA80" t="s">
        <v>34</v>
      </c>
      <c r="AB80" t="s">
        <v>35</v>
      </c>
      <c r="AD80" t="s">
        <v>36</v>
      </c>
      <c r="AE80" t="s">
        <v>37</v>
      </c>
      <c r="AF80" t="s">
        <v>38</v>
      </c>
    </row>
    <row r="81" spans="1:32" x14ac:dyDescent="0.2">
      <c r="A81">
        <v>78</v>
      </c>
      <c r="B81">
        <v>0.5</v>
      </c>
      <c r="C81">
        <v>1.5</v>
      </c>
      <c r="D81" s="1" t="s">
        <v>524</v>
      </c>
      <c r="I81" s="1" t="s">
        <v>525</v>
      </c>
      <c r="J81" s="1" t="s">
        <v>524</v>
      </c>
      <c r="K81" s="1" t="s">
        <v>526</v>
      </c>
      <c r="L81" s="1" t="s">
        <v>526</v>
      </c>
      <c r="M81" s="1" t="s">
        <v>527</v>
      </c>
      <c r="N81">
        <v>96.5836967920186</v>
      </c>
      <c r="O81" s="1" t="s">
        <v>528</v>
      </c>
      <c r="P81" t="s">
        <v>45</v>
      </c>
      <c r="Q81">
        <v>1.5</v>
      </c>
      <c r="R81">
        <v>1</v>
      </c>
      <c r="S81">
        <v>1</v>
      </c>
      <c r="T81" s="1" t="s">
        <v>529</v>
      </c>
      <c r="Y81">
        <v>414938</v>
      </c>
      <c r="Z81" s="1" t="s">
        <v>33</v>
      </c>
      <c r="AA81" t="s">
        <v>34</v>
      </c>
      <c r="AB81" t="s">
        <v>35</v>
      </c>
      <c r="AD81" t="s">
        <v>36</v>
      </c>
      <c r="AE81" t="s">
        <v>37</v>
      </c>
      <c r="AF81" t="s">
        <v>38</v>
      </c>
    </row>
    <row r="82" spans="1:32" x14ac:dyDescent="0.2">
      <c r="A82">
        <v>79</v>
      </c>
      <c r="B82">
        <v>0.5</v>
      </c>
      <c r="C82">
        <v>1</v>
      </c>
      <c r="D82" s="1" t="s">
        <v>530</v>
      </c>
      <c r="I82" s="1" t="s">
        <v>531</v>
      </c>
      <c r="J82" s="1" t="s">
        <v>530</v>
      </c>
      <c r="K82" s="1" t="s">
        <v>532</v>
      </c>
      <c r="L82" s="1" t="s">
        <v>532</v>
      </c>
      <c r="M82" s="1" t="s">
        <v>533</v>
      </c>
      <c r="N82" s="1" t="s">
        <v>534</v>
      </c>
      <c r="O82" s="1" t="s">
        <v>535</v>
      </c>
      <c r="P82" t="s">
        <v>45</v>
      </c>
      <c r="Q82">
        <v>1</v>
      </c>
      <c r="R82">
        <v>1</v>
      </c>
      <c r="S82">
        <v>1</v>
      </c>
      <c r="T82">
        <v>0.51914187404327095</v>
      </c>
      <c r="Y82">
        <v>414938</v>
      </c>
      <c r="Z82" s="1" t="s">
        <v>33</v>
      </c>
      <c r="AA82" t="s">
        <v>34</v>
      </c>
      <c r="AB82" t="s">
        <v>35</v>
      </c>
      <c r="AD82" t="s">
        <v>36</v>
      </c>
      <c r="AE82" t="s">
        <v>37</v>
      </c>
      <c r="AF82" t="s">
        <v>38</v>
      </c>
    </row>
    <row r="83" spans="1:32" x14ac:dyDescent="0.2">
      <c r="A83">
        <v>80</v>
      </c>
      <c r="B83">
        <v>0.5</v>
      </c>
      <c r="C83">
        <v>1</v>
      </c>
      <c r="D83" s="1" t="s">
        <v>536</v>
      </c>
      <c r="I83" s="1" t="s">
        <v>537</v>
      </c>
      <c r="J83" s="1" t="s">
        <v>536</v>
      </c>
      <c r="K83" s="1" t="s">
        <v>538</v>
      </c>
      <c r="L83" s="1" t="s">
        <v>538</v>
      </c>
      <c r="M83" s="1" t="s">
        <v>538</v>
      </c>
      <c r="N83" s="1" t="s">
        <v>539</v>
      </c>
      <c r="O83" s="1" t="s">
        <v>540</v>
      </c>
      <c r="P83" t="s">
        <v>53</v>
      </c>
      <c r="Q83">
        <v>-1</v>
      </c>
      <c r="R83">
        <v>1</v>
      </c>
      <c r="S83">
        <v>1</v>
      </c>
      <c r="T83" s="1" t="s">
        <v>541</v>
      </c>
      <c r="Y83">
        <v>414938</v>
      </c>
      <c r="Z83" s="1" t="s">
        <v>33</v>
      </c>
      <c r="AA83" t="s">
        <v>34</v>
      </c>
      <c r="AB83" t="s">
        <v>35</v>
      </c>
      <c r="AD83" t="s">
        <v>36</v>
      </c>
      <c r="AE83" t="s">
        <v>37</v>
      </c>
      <c r="AF83" t="s">
        <v>38</v>
      </c>
    </row>
    <row r="84" spans="1:32" x14ac:dyDescent="0.2">
      <c r="A84">
        <v>81</v>
      </c>
      <c r="B84">
        <v>0.5</v>
      </c>
      <c r="C84">
        <v>1</v>
      </c>
      <c r="D84" s="1" t="s">
        <v>542</v>
      </c>
      <c r="I84" s="1" t="s">
        <v>543</v>
      </c>
      <c r="J84" s="1" t="s">
        <v>542</v>
      </c>
      <c r="K84">
        <v>99.813413208001293</v>
      </c>
      <c r="L84">
        <v>99.813413208001293</v>
      </c>
      <c r="M84" s="1" t="s">
        <v>544</v>
      </c>
      <c r="N84" s="1" t="s">
        <v>545</v>
      </c>
      <c r="O84" s="1" t="s">
        <v>546</v>
      </c>
      <c r="P84" t="s">
        <v>45</v>
      </c>
      <c r="Q84">
        <v>1</v>
      </c>
      <c r="R84">
        <v>1</v>
      </c>
      <c r="S84">
        <v>1</v>
      </c>
      <c r="T84" s="1" t="s">
        <v>547</v>
      </c>
      <c r="Y84">
        <v>414938</v>
      </c>
      <c r="Z84" s="1" t="s">
        <v>33</v>
      </c>
      <c r="AA84" t="s">
        <v>34</v>
      </c>
      <c r="AB84" t="s">
        <v>35</v>
      </c>
      <c r="AD84" t="s">
        <v>36</v>
      </c>
      <c r="AE84" t="s">
        <v>37</v>
      </c>
      <c r="AF84" t="s">
        <v>38</v>
      </c>
    </row>
    <row r="85" spans="1:32" x14ac:dyDescent="0.2">
      <c r="A85">
        <v>82</v>
      </c>
      <c r="B85">
        <v>0.5</v>
      </c>
      <c r="C85">
        <v>1</v>
      </c>
      <c r="D85" s="1" t="s">
        <v>548</v>
      </c>
      <c r="I85" s="1" t="s">
        <v>549</v>
      </c>
      <c r="J85" s="1" t="s">
        <v>548</v>
      </c>
      <c r="K85" s="1" t="s">
        <v>550</v>
      </c>
      <c r="L85" s="1" t="s">
        <v>550</v>
      </c>
      <c r="M85" s="1" t="s">
        <v>550</v>
      </c>
      <c r="N85" s="1" t="s">
        <v>551</v>
      </c>
      <c r="O85" s="1" t="s">
        <v>552</v>
      </c>
      <c r="P85" t="s">
        <v>45</v>
      </c>
      <c r="Q85">
        <v>1</v>
      </c>
      <c r="R85">
        <v>1</v>
      </c>
      <c r="S85">
        <v>1</v>
      </c>
      <c r="T85" s="1" t="s">
        <v>553</v>
      </c>
      <c r="Y85">
        <v>414938</v>
      </c>
      <c r="Z85" s="1" t="s">
        <v>33</v>
      </c>
      <c r="AA85" t="s">
        <v>34</v>
      </c>
      <c r="AB85" t="s">
        <v>35</v>
      </c>
      <c r="AD85" t="s">
        <v>36</v>
      </c>
      <c r="AE85" t="s">
        <v>37</v>
      </c>
      <c r="AF85" t="s">
        <v>38</v>
      </c>
    </row>
    <row r="86" spans="1:32" x14ac:dyDescent="0.2">
      <c r="A86">
        <v>83</v>
      </c>
      <c r="B86">
        <v>0.5</v>
      </c>
      <c r="C86">
        <v>1</v>
      </c>
      <c r="D86" s="1" t="s">
        <v>554</v>
      </c>
      <c r="I86" s="1" t="s">
        <v>555</v>
      </c>
      <c r="J86" s="1" t="s">
        <v>554</v>
      </c>
      <c r="K86" s="1" t="s">
        <v>556</v>
      </c>
      <c r="L86" s="1" t="s">
        <v>556</v>
      </c>
      <c r="M86" s="1" t="s">
        <v>556</v>
      </c>
      <c r="N86" s="1" t="s">
        <v>557</v>
      </c>
      <c r="O86" s="1" t="s">
        <v>558</v>
      </c>
      <c r="P86" t="s">
        <v>45</v>
      </c>
      <c r="Q86">
        <v>1</v>
      </c>
      <c r="R86">
        <v>1</v>
      </c>
      <c r="S86">
        <v>1</v>
      </c>
      <c r="T86" s="1" t="s">
        <v>559</v>
      </c>
      <c r="Y86">
        <v>414938</v>
      </c>
      <c r="Z86" s="1" t="s">
        <v>33</v>
      </c>
      <c r="AA86" t="s">
        <v>34</v>
      </c>
      <c r="AB86" t="s">
        <v>35</v>
      </c>
      <c r="AD86" t="s">
        <v>36</v>
      </c>
      <c r="AE86" t="s">
        <v>37</v>
      </c>
      <c r="AF86" t="s">
        <v>38</v>
      </c>
    </row>
    <row r="87" spans="1:32" x14ac:dyDescent="0.2">
      <c r="A87">
        <v>84</v>
      </c>
      <c r="B87">
        <v>0.5</v>
      </c>
      <c r="C87">
        <v>1</v>
      </c>
      <c r="D87" s="1" t="s">
        <v>560</v>
      </c>
      <c r="I87" s="1" t="s">
        <v>561</v>
      </c>
      <c r="J87" s="1" t="s">
        <v>560</v>
      </c>
      <c r="K87" s="1" t="s">
        <v>562</v>
      </c>
      <c r="L87" s="1" t="s">
        <v>562</v>
      </c>
      <c r="M87" s="1" t="s">
        <v>563</v>
      </c>
      <c r="N87" s="1" t="s">
        <v>564</v>
      </c>
      <c r="O87" s="1" t="s">
        <v>565</v>
      </c>
      <c r="P87" t="s">
        <v>53</v>
      </c>
      <c r="Q87">
        <v>-1</v>
      </c>
      <c r="R87">
        <v>0</v>
      </c>
      <c r="S87">
        <v>0</v>
      </c>
      <c r="T87" s="1" t="s">
        <v>566</v>
      </c>
      <c r="Y87">
        <v>414938</v>
      </c>
      <c r="Z87" s="1" t="s">
        <v>33</v>
      </c>
      <c r="AA87" t="s">
        <v>34</v>
      </c>
      <c r="AB87" t="s">
        <v>35</v>
      </c>
      <c r="AD87" t="s">
        <v>36</v>
      </c>
      <c r="AE87" t="s">
        <v>37</v>
      </c>
      <c r="AF87" t="s">
        <v>38</v>
      </c>
    </row>
    <row r="88" spans="1:32" x14ac:dyDescent="0.2">
      <c r="A88">
        <v>85</v>
      </c>
      <c r="B88">
        <v>0.5</v>
      </c>
      <c r="C88">
        <v>1.5</v>
      </c>
      <c r="D88" s="1" t="s">
        <v>567</v>
      </c>
      <c r="I88" s="1" t="s">
        <v>568</v>
      </c>
      <c r="J88" s="1" t="s">
        <v>567</v>
      </c>
      <c r="K88" s="1" t="s">
        <v>569</v>
      </c>
      <c r="L88" s="1" t="s">
        <v>569</v>
      </c>
      <c r="M88" s="1" t="s">
        <v>570</v>
      </c>
      <c r="N88" s="1" t="s">
        <v>571</v>
      </c>
      <c r="O88" s="1" t="s">
        <v>572</v>
      </c>
      <c r="P88" t="s">
        <v>53</v>
      </c>
      <c r="Q88">
        <v>-1.5</v>
      </c>
      <c r="R88">
        <v>0</v>
      </c>
      <c r="S88">
        <v>0</v>
      </c>
      <c r="T88" s="1" t="s">
        <v>573</v>
      </c>
      <c r="Y88">
        <v>414938</v>
      </c>
      <c r="Z88" s="1" t="s">
        <v>33</v>
      </c>
      <c r="AA88" t="s">
        <v>34</v>
      </c>
      <c r="AB88" t="s">
        <v>35</v>
      </c>
      <c r="AD88" t="s">
        <v>36</v>
      </c>
      <c r="AE88" t="s">
        <v>37</v>
      </c>
      <c r="AF88" t="s">
        <v>38</v>
      </c>
    </row>
    <row r="89" spans="1:32" x14ac:dyDescent="0.2">
      <c r="A89">
        <v>86</v>
      </c>
      <c r="B89">
        <v>0.5</v>
      </c>
      <c r="C89">
        <v>2</v>
      </c>
      <c r="D89" s="1" t="s">
        <v>574</v>
      </c>
      <c r="I89" s="1" t="s">
        <v>575</v>
      </c>
      <c r="J89" s="1" t="s">
        <v>574</v>
      </c>
      <c r="K89" s="1" t="s">
        <v>576</v>
      </c>
      <c r="L89" s="1" t="s">
        <v>576</v>
      </c>
      <c r="M89" s="1" t="s">
        <v>576</v>
      </c>
      <c r="N89" s="1" t="s">
        <v>577</v>
      </c>
      <c r="O89" s="1" t="s">
        <v>578</v>
      </c>
      <c r="P89" t="s">
        <v>45</v>
      </c>
      <c r="Q89">
        <v>2</v>
      </c>
      <c r="R89">
        <v>1</v>
      </c>
      <c r="S89">
        <v>1</v>
      </c>
      <c r="T89">
        <v>0.58870695799123496</v>
      </c>
      <c r="Y89">
        <v>414938</v>
      </c>
      <c r="Z89" s="1" t="s">
        <v>33</v>
      </c>
      <c r="AA89" t="s">
        <v>34</v>
      </c>
      <c r="AB89" t="s">
        <v>35</v>
      </c>
      <c r="AD89" t="s">
        <v>36</v>
      </c>
      <c r="AE89" t="s">
        <v>37</v>
      </c>
      <c r="AF89" t="s">
        <v>38</v>
      </c>
    </row>
    <row r="90" spans="1:32" x14ac:dyDescent="0.2">
      <c r="A90">
        <v>87</v>
      </c>
      <c r="B90">
        <v>0.5</v>
      </c>
      <c r="C90">
        <v>2</v>
      </c>
      <c r="D90" s="1" t="s">
        <v>579</v>
      </c>
      <c r="I90" s="1" t="s">
        <v>580</v>
      </c>
      <c r="J90" s="1" t="s">
        <v>579</v>
      </c>
      <c r="K90" s="1" t="s">
        <v>581</v>
      </c>
      <c r="L90" s="1" t="s">
        <v>581</v>
      </c>
      <c r="M90" s="1" t="s">
        <v>582</v>
      </c>
      <c r="N90" s="1" t="s">
        <v>583</v>
      </c>
      <c r="O90">
        <v>108.816178707988</v>
      </c>
      <c r="P90" t="s">
        <v>45</v>
      </c>
      <c r="Q90">
        <v>2</v>
      </c>
      <c r="R90">
        <v>1</v>
      </c>
      <c r="S90">
        <v>1</v>
      </c>
      <c r="T90" s="1" t="s">
        <v>584</v>
      </c>
      <c r="Y90">
        <v>414938</v>
      </c>
      <c r="Z90" s="1" t="s">
        <v>33</v>
      </c>
      <c r="AA90" t="s">
        <v>34</v>
      </c>
      <c r="AB90" t="s">
        <v>35</v>
      </c>
      <c r="AD90" t="s">
        <v>36</v>
      </c>
      <c r="AE90" t="s">
        <v>37</v>
      </c>
      <c r="AF90" t="s">
        <v>38</v>
      </c>
    </row>
    <row r="91" spans="1:32" x14ac:dyDescent="0.2">
      <c r="A91">
        <v>88</v>
      </c>
      <c r="B91">
        <v>0.5</v>
      </c>
      <c r="C91">
        <v>2</v>
      </c>
      <c r="D91" s="1" t="s">
        <v>585</v>
      </c>
      <c r="I91" s="1" t="s">
        <v>586</v>
      </c>
      <c r="J91" s="1" t="s">
        <v>585</v>
      </c>
      <c r="K91" s="1" t="s">
        <v>587</v>
      </c>
      <c r="L91" s="1" t="s">
        <v>587</v>
      </c>
      <c r="M91" s="1" t="s">
        <v>588</v>
      </c>
      <c r="N91" s="1" t="s">
        <v>589</v>
      </c>
      <c r="O91" s="1" t="s">
        <v>590</v>
      </c>
      <c r="P91" t="s">
        <v>45</v>
      </c>
      <c r="Q91">
        <v>2</v>
      </c>
      <c r="R91">
        <v>1</v>
      </c>
      <c r="S91">
        <v>1</v>
      </c>
      <c r="T91" s="1" t="s">
        <v>591</v>
      </c>
      <c r="Y91">
        <v>414938</v>
      </c>
      <c r="Z91" s="1" t="s">
        <v>33</v>
      </c>
      <c r="AA91" t="s">
        <v>34</v>
      </c>
      <c r="AB91" t="s">
        <v>35</v>
      </c>
      <c r="AD91" t="s">
        <v>36</v>
      </c>
      <c r="AE91" t="s">
        <v>37</v>
      </c>
      <c r="AF91" t="s">
        <v>38</v>
      </c>
    </row>
    <row r="92" spans="1:32" x14ac:dyDescent="0.2">
      <c r="A92">
        <v>89</v>
      </c>
      <c r="B92">
        <v>0.5</v>
      </c>
      <c r="C92">
        <v>1.5</v>
      </c>
      <c r="D92" s="1" t="s">
        <v>592</v>
      </c>
      <c r="I92" s="1" t="s">
        <v>593</v>
      </c>
      <c r="J92" s="1" t="s">
        <v>592</v>
      </c>
      <c r="K92" s="1" t="s">
        <v>594</v>
      </c>
      <c r="L92" s="1" t="s">
        <v>594</v>
      </c>
      <c r="M92" s="1" t="s">
        <v>595</v>
      </c>
      <c r="N92" s="1" t="s">
        <v>596</v>
      </c>
      <c r="O92" s="1" t="s">
        <v>597</v>
      </c>
      <c r="P92" t="s">
        <v>53</v>
      </c>
      <c r="Q92">
        <v>-1.5</v>
      </c>
      <c r="R92">
        <v>1</v>
      </c>
      <c r="S92">
        <v>1</v>
      </c>
      <c r="T92" s="1" t="s">
        <v>598</v>
      </c>
      <c r="Y92">
        <v>414938</v>
      </c>
      <c r="Z92" s="1" t="s">
        <v>33</v>
      </c>
      <c r="AA92" t="s">
        <v>34</v>
      </c>
      <c r="AB92" t="s">
        <v>35</v>
      </c>
      <c r="AD92" t="s">
        <v>36</v>
      </c>
      <c r="AE92" t="s">
        <v>37</v>
      </c>
      <c r="AF92" t="s">
        <v>38</v>
      </c>
    </row>
    <row r="93" spans="1:32" x14ac:dyDescent="0.2">
      <c r="A93">
        <v>90</v>
      </c>
      <c r="B93">
        <v>0.5</v>
      </c>
      <c r="C93">
        <v>1.5</v>
      </c>
      <c r="D93" s="1" t="s">
        <v>599</v>
      </c>
      <c r="I93" s="1" t="s">
        <v>600</v>
      </c>
      <c r="J93" s="1" t="s">
        <v>599</v>
      </c>
      <c r="K93">
        <v>111.447134291986</v>
      </c>
      <c r="L93">
        <v>111.447134291986</v>
      </c>
      <c r="M93" s="1" t="s">
        <v>601</v>
      </c>
      <c r="N93" s="1" t="s">
        <v>602</v>
      </c>
      <c r="O93" s="1" t="s">
        <v>603</v>
      </c>
      <c r="P93" t="s">
        <v>45</v>
      </c>
      <c r="Q93">
        <v>1.5</v>
      </c>
      <c r="R93">
        <v>1</v>
      </c>
      <c r="S93">
        <v>1</v>
      </c>
      <c r="T93" s="1" t="s">
        <v>604</v>
      </c>
      <c r="Y93">
        <v>414938</v>
      </c>
      <c r="Z93" s="1" t="s">
        <v>33</v>
      </c>
      <c r="AA93" t="s">
        <v>34</v>
      </c>
      <c r="AB93" t="s">
        <v>35</v>
      </c>
      <c r="AD93" t="s">
        <v>36</v>
      </c>
      <c r="AE93" t="s">
        <v>37</v>
      </c>
      <c r="AF93" t="s">
        <v>38</v>
      </c>
    </row>
    <row r="94" spans="1:32" x14ac:dyDescent="0.2">
      <c r="A94">
        <v>91</v>
      </c>
      <c r="B94">
        <v>0.5</v>
      </c>
      <c r="C94">
        <v>1.5</v>
      </c>
      <c r="D94" s="1" t="s">
        <v>605</v>
      </c>
      <c r="I94" s="1" t="s">
        <v>606</v>
      </c>
      <c r="J94" s="1" t="s">
        <v>605</v>
      </c>
      <c r="K94" s="1" t="s">
        <v>607</v>
      </c>
      <c r="L94" s="1" t="s">
        <v>607</v>
      </c>
      <c r="M94" s="1" t="s">
        <v>608</v>
      </c>
      <c r="N94" s="1" t="s">
        <v>609</v>
      </c>
      <c r="O94" s="1" t="s">
        <v>610</v>
      </c>
      <c r="P94" t="s">
        <v>53</v>
      </c>
      <c r="Q94">
        <v>-1.5</v>
      </c>
      <c r="R94">
        <v>1</v>
      </c>
      <c r="S94">
        <v>1</v>
      </c>
      <c r="T94" s="1" t="s">
        <v>611</v>
      </c>
      <c r="Y94">
        <v>414938</v>
      </c>
      <c r="Z94" s="1" t="s">
        <v>33</v>
      </c>
      <c r="AA94" t="s">
        <v>34</v>
      </c>
      <c r="AB94" t="s">
        <v>35</v>
      </c>
      <c r="AD94" t="s">
        <v>36</v>
      </c>
      <c r="AE94" t="s">
        <v>37</v>
      </c>
      <c r="AF94" t="s">
        <v>38</v>
      </c>
    </row>
    <row r="95" spans="1:32" x14ac:dyDescent="0.2">
      <c r="A95">
        <v>92</v>
      </c>
      <c r="B95">
        <v>0.5</v>
      </c>
      <c r="C95">
        <v>1</v>
      </c>
      <c r="D95" s="1" t="s">
        <v>612</v>
      </c>
      <c r="I95" s="1" t="s">
        <v>613</v>
      </c>
      <c r="J95" s="1" t="s">
        <v>612</v>
      </c>
      <c r="K95" s="1" t="s">
        <v>614</v>
      </c>
      <c r="L95" s="1" t="s">
        <v>614</v>
      </c>
      <c r="M95" s="1" t="s">
        <v>615</v>
      </c>
      <c r="N95" s="1" t="s">
        <v>616</v>
      </c>
      <c r="O95" s="1" t="s">
        <v>617</v>
      </c>
      <c r="P95" t="s">
        <v>53</v>
      </c>
      <c r="Q95">
        <v>-1</v>
      </c>
      <c r="R95">
        <v>1</v>
      </c>
      <c r="S95">
        <v>1</v>
      </c>
      <c r="T95" s="1" t="s">
        <v>618</v>
      </c>
      <c r="Y95">
        <v>414938</v>
      </c>
      <c r="Z95" s="1" t="s">
        <v>33</v>
      </c>
      <c r="AA95" t="s">
        <v>34</v>
      </c>
      <c r="AB95" t="s">
        <v>35</v>
      </c>
      <c r="AD95" t="s">
        <v>36</v>
      </c>
      <c r="AE95" t="s">
        <v>37</v>
      </c>
      <c r="AF95" t="s">
        <v>38</v>
      </c>
    </row>
    <row r="96" spans="1:32" x14ac:dyDescent="0.2">
      <c r="A96">
        <v>93</v>
      </c>
      <c r="B96">
        <v>0.5</v>
      </c>
      <c r="C96">
        <v>1</v>
      </c>
      <c r="D96" s="1" t="s">
        <v>619</v>
      </c>
      <c r="I96" s="1" t="s">
        <v>620</v>
      </c>
      <c r="J96" s="1" t="s">
        <v>619</v>
      </c>
      <c r="K96" s="1" t="s">
        <v>621</v>
      </c>
      <c r="L96" s="1" t="s">
        <v>621</v>
      </c>
      <c r="M96" s="1" t="s">
        <v>622</v>
      </c>
      <c r="N96" s="1" t="s">
        <v>623</v>
      </c>
      <c r="O96" s="1" t="s">
        <v>624</v>
      </c>
      <c r="P96" t="s">
        <v>45</v>
      </c>
      <c r="Q96">
        <v>1</v>
      </c>
      <c r="R96">
        <v>1</v>
      </c>
      <c r="S96">
        <v>1</v>
      </c>
      <c r="T96" s="1" t="s">
        <v>625</v>
      </c>
      <c r="Y96">
        <v>414938</v>
      </c>
      <c r="Z96" s="1" t="s">
        <v>33</v>
      </c>
      <c r="AA96" t="s">
        <v>34</v>
      </c>
      <c r="AB96" t="s">
        <v>35</v>
      </c>
      <c r="AD96" t="s">
        <v>36</v>
      </c>
      <c r="AE96" t="s">
        <v>37</v>
      </c>
      <c r="AF96" t="s">
        <v>38</v>
      </c>
    </row>
    <row r="97" spans="1:32" x14ac:dyDescent="0.2">
      <c r="A97">
        <v>94</v>
      </c>
      <c r="B97">
        <v>0.5</v>
      </c>
      <c r="C97">
        <v>1</v>
      </c>
      <c r="D97" s="1" t="s">
        <v>626</v>
      </c>
      <c r="I97" s="1" t="s">
        <v>627</v>
      </c>
      <c r="J97" s="1" t="s">
        <v>626</v>
      </c>
      <c r="K97" s="1" t="s">
        <v>628</v>
      </c>
      <c r="L97" s="1" t="s">
        <v>628</v>
      </c>
      <c r="M97" s="1" t="s">
        <v>629</v>
      </c>
      <c r="N97" s="1" t="s">
        <v>630</v>
      </c>
      <c r="O97" s="1" t="s">
        <v>631</v>
      </c>
      <c r="P97" t="s">
        <v>45</v>
      </c>
      <c r="Q97">
        <v>1</v>
      </c>
      <c r="R97">
        <v>1</v>
      </c>
      <c r="S97">
        <v>1</v>
      </c>
      <c r="T97" s="1" t="s">
        <v>632</v>
      </c>
      <c r="Y97">
        <v>414938</v>
      </c>
      <c r="Z97" s="1" t="s">
        <v>33</v>
      </c>
      <c r="AA97" t="s">
        <v>34</v>
      </c>
      <c r="AB97" t="s">
        <v>35</v>
      </c>
      <c r="AD97" t="s">
        <v>36</v>
      </c>
      <c r="AE97" t="s">
        <v>37</v>
      </c>
      <c r="AF97" t="s">
        <v>38</v>
      </c>
    </row>
    <row r="98" spans="1:32" x14ac:dyDescent="0.2">
      <c r="A98">
        <v>95</v>
      </c>
      <c r="B98">
        <v>0.5</v>
      </c>
      <c r="C98">
        <v>1</v>
      </c>
      <c r="D98" s="1" t="s">
        <v>633</v>
      </c>
      <c r="I98" s="1" t="s">
        <v>634</v>
      </c>
      <c r="J98" s="1" t="s">
        <v>633</v>
      </c>
      <c r="K98" s="1" t="s">
        <v>635</v>
      </c>
      <c r="L98" s="1" t="s">
        <v>635</v>
      </c>
      <c r="M98" s="1" t="s">
        <v>636</v>
      </c>
      <c r="N98" s="1" t="s">
        <v>637</v>
      </c>
      <c r="O98" s="1" t="s">
        <v>638</v>
      </c>
      <c r="P98" t="s">
        <v>45</v>
      </c>
      <c r="Q98">
        <v>1</v>
      </c>
      <c r="R98">
        <v>1</v>
      </c>
      <c r="S98">
        <v>1</v>
      </c>
      <c r="T98" s="1" t="s">
        <v>639</v>
      </c>
      <c r="Y98">
        <v>414938</v>
      </c>
      <c r="Z98" s="1" t="s">
        <v>33</v>
      </c>
      <c r="AA98" t="s">
        <v>34</v>
      </c>
      <c r="AB98" t="s">
        <v>35</v>
      </c>
      <c r="AD98" t="s">
        <v>36</v>
      </c>
      <c r="AE98" t="s">
        <v>37</v>
      </c>
      <c r="AF98" t="s">
        <v>38</v>
      </c>
    </row>
    <row r="99" spans="1:32" x14ac:dyDescent="0.2">
      <c r="A99">
        <v>96</v>
      </c>
      <c r="B99">
        <v>0.5</v>
      </c>
      <c r="C99">
        <v>1</v>
      </c>
      <c r="D99" s="1" t="s">
        <v>640</v>
      </c>
      <c r="I99" s="1" t="s">
        <v>641</v>
      </c>
      <c r="J99" s="1" t="s">
        <v>640</v>
      </c>
      <c r="K99" s="1" t="s">
        <v>642</v>
      </c>
      <c r="L99" s="1" t="s">
        <v>642</v>
      </c>
      <c r="M99" s="1" t="s">
        <v>643</v>
      </c>
      <c r="N99" s="1" t="s">
        <v>644</v>
      </c>
      <c r="O99" s="1" t="s">
        <v>645</v>
      </c>
      <c r="P99" t="s">
        <v>45</v>
      </c>
      <c r="Q99">
        <v>1</v>
      </c>
      <c r="R99">
        <v>1</v>
      </c>
      <c r="S99">
        <v>1</v>
      </c>
      <c r="T99" s="1" t="s">
        <v>646</v>
      </c>
      <c r="Y99">
        <v>414938</v>
      </c>
      <c r="Z99" s="1" t="s">
        <v>33</v>
      </c>
      <c r="AA99" t="s">
        <v>34</v>
      </c>
      <c r="AB99" t="s">
        <v>35</v>
      </c>
      <c r="AD99" t="s">
        <v>36</v>
      </c>
      <c r="AE99" t="s">
        <v>37</v>
      </c>
      <c r="AF99" t="s">
        <v>38</v>
      </c>
    </row>
    <row r="100" spans="1:32" x14ac:dyDescent="0.2">
      <c r="A100">
        <v>97</v>
      </c>
      <c r="B100">
        <v>0.5</v>
      </c>
      <c r="C100">
        <v>1</v>
      </c>
      <c r="D100" s="1" t="s">
        <v>647</v>
      </c>
      <c r="I100" s="1" t="s">
        <v>648</v>
      </c>
      <c r="J100" s="1" t="s">
        <v>647</v>
      </c>
      <c r="K100" s="1" t="s">
        <v>649</v>
      </c>
      <c r="L100" s="1" t="s">
        <v>649</v>
      </c>
      <c r="M100" s="1" t="s">
        <v>649</v>
      </c>
      <c r="N100" s="1" t="s">
        <v>650</v>
      </c>
      <c r="O100" s="1" t="s">
        <v>651</v>
      </c>
      <c r="P100" t="s">
        <v>45</v>
      </c>
      <c r="Q100">
        <v>1</v>
      </c>
      <c r="R100">
        <v>1</v>
      </c>
      <c r="S100">
        <v>1</v>
      </c>
      <c r="T100">
        <v>0.68060574901755899</v>
      </c>
      <c r="Y100">
        <v>414938</v>
      </c>
      <c r="Z100" s="1" t="s">
        <v>33</v>
      </c>
      <c r="AA100" t="s">
        <v>34</v>
      </c>
      <c r="AB100" t="s">
        <v>35</v>
      </c>
      <c r="AD100" t="s">
        <v>36</v>
      </c>
      <c r="AE100" t="s">
        <v>37</v>
      </c>
      <c r="AF100" t="s">
        <v>38</v>
      </c>
    </row>
    <row r="101" spans="1:32" x14ac:dyDescent="0.2">
      <c r="A101">
        <v>98</v>
      </c>
      <c r="B101">
        <v>0.5</v>
      </c>
      <c r="C101">
        <v>1</v>
      </c>
      <c r="D101" s="1" t="s">
        <v>652</v>
      </c>
      <c r="I101" s="1" t="s">
        <v>653</v>
      </c>
      <c r="J101" s="1" t="s">
        <v>652</v>
      </c>
      <c r="K101" s="1" t="s">
        <v>654</v>
      </c>
      <c r="L101" s="1" t="s">
        <v>654</v>
      </c>
      <c r="M101" s="1" t="s">
        <v>654</v>
      </c>
      <c r="N101" s="1" t="s">
        <v>655</v>
      </c>
      <c r="O101" s="1" t="s">
        <v>656</v>
      </c>
      <c r="P101" t="s">
        <v>45</v>
      </c>
      <c r="Q101">
        <v>1</v>
      </c>
      <c r="R101">
        <v>1</v>
      </c>
      <c r="S101">
        <v>1</v>
      </c>
      <c r="T101" s="1" t="s">
        <v>657</v>
      </c>
      <c r="Y101">
        <v>414938</v>
      </c>
      <c r="Z101" s="1" t="s">
        <v>33</v>
      </c>
      <c r="AA101" t="s">
        <v>34</v>
      </c>
      <c r="AB101" t="s">
        <v>35</v>
      </c>
      <c r="AD101" t="s">
        <v>36</v>
      </c>
      <c r="AE101" t="s">
        <v>37</v>
      </c>
      <c r="AF101" t="s">
        <v>38</v>
      </c>
    </row>
    <row r="102" spans="1:32" x14ac:dyDescent="0.2">
      <c r="A102">
        <v>99</v>
      </c>
      <c r="B102">
        <v>0.5</v>
      </c>
      <c r="C102">
        <v>1</v>
      </c>
      <c r="D102" s="1" t="s">
        <v>658</v>
      </c>
      <c r="I102" s="1" t="s">
        <v>659</v>
      </c>
      <c r="J102" s="1" t="s">
        <v>658</v>
      </c>
      <c r="K102" s="1" t="s">
        <v>660</v>
      </c>
      <c r="L102" s="1" t="s">
        <v>660</v>
      </c>
      <c r="M102" s="1" t="s">
        <v>661</v>
      </c>
      <c r="N102" s="1" t="s">
        <v>662</v>
      </c>
      <c r="O102" s="1" t="s">
        <v>663</v>
      </c>
      <c r="P102" t="s">
        <v>45</v>
      </c>
      <c r="Q102">
        <v>1</v>
      </c>
      <c r="R102">
        <v>1</v>
      </c>
      <c r="S102">
        <v>1</v>
      </c>
      <c r="T102" s="1" t="s">
        <v>664</v>
      </c>
      <c r="Y102">
        <v>414938</v>
      </c>
      <c r="Z102" s="1" t="s">
        <v>33</v>
      </c>
      <c r="AA102" t="s">
        <v>34</v>
      </c>
      <c r="AB102" t="s">
        <v>35</v>
      </c>
      <c r="AD102" t="s">
        <v>36</v>
      </c>
      <c r="AE102" t="s">
        <v>37</v>
      </c>
      <c r="AF102" t="s">
        <v>38</v>
      </c>
    </row>
    <row r="103" spans="1:32" x14ac:dyDescent="0.2">
      <c r="U103" s="1" t="s">
        <v>665</v>
      </c>
      <c r="V103" s="1" t="s">
        <v>666</v>
      </c>
      <c r="W103" s="1" t="s">
        <v>667</v>
      </c>
      <c r="X103" s="1" t="s">
        <v>668</v>
      </c>
      <c r="Y103">
        <v>414938</v>
      </c>
      <c r="Z103" s="1" t="s">
        <v>33</v>
      </c>
      <c r="AA103" t="s">
        <v>34</v>
      </c>
      <c r="AB103" t="s">
        <v>35</v>
      </c>
      <c r="AD103" t="s">
        <v>36</v>
      </c>
      <c r="AE103" t="s">
        <v>37</v>
      </c>
      <c r="AF103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tabSelected="1" zoomScale="88" workbookViewId="0">
      <selection activeCell="G21" sqref="G21"/>
    </sheetView>
  </sheetViews>
  <sheetFormatPr baseColWidth="10" defaultRowHeight="16" x14ac:dyDescent="0.2"/>
  <cols>
    <col min="1" max="1" width="13.83203125" customWidth="1"/>
    <col min="5" max="5" width="21.83203125" customWidth="1"/>
  </cols>
  <sheetData>
    <row r="1" spans="1:6" x14ac:dyDescent="0.2">
      <c r="A1" t="s">
        <v>669</v>
      </c>
      <c r="B1" t="s">
        <v>16</v>
      </c>
      <c r="C1" t="s">
        <v>17</v>
      </c>
    </row>
    <row r="2" spans="1:6" x14ac:dyDescent="0.2">
      <c r="A2" cm="1">
        <f t="array" ref="A2:A101">ROW(B2:B101)-1</f>
        <v>1</v>
      </c>
      <c r="B2">
        <v>10</v>
      </c>
      <c r="C2">
        <v>1</v>
      </c>
    </row>
    <row r="3" spans="1:6" x14ac:dyDescent="0.2">
      <c r="A3">
        <v>2</v>
      </c>
      <c r="B3">
        <v>-8</v>
      </c>
      <c r="C3">
        <v>1</v>
      </c>
    </row>
    <row r="4" spans="1:6" x14ac:dyDescent="0.2">
      <c r="A4">
        <v>3</v>
      </c>
      <c r="B4">
        <v>-6</v>
      </c>
      <c r="C4">
        <v>1</v>
      </c>
    </row>
    <row r="5" spans="1:6" x14ac:dyDescent="0.2">
      <c r="A5">
        <v>4</v>
      </c>
      <c r="B5">
        <v>-4</v>
      </c>
      <c r="C5">
        <v>1</v>
      </c>
    </row>
    <row r="6" spans="1:6" x14ac:dyDescent="0.2">
      <c r="A6">
        <v>5</v>
      </c>
      <c r="B6">
        <v>2</v>
      </c>
      <c r="C6">
        <v>1</v>
      </c>
      <c r="F6">
        <v>1</v>
      </c>
    </row>
    <row r="7" spans="1:6" x14ac:dyDescent="0.2">
      <c r="A7">
        <v>6</v>
      </c>
      <c r="B7">
        <v>1</v>
      </c>
      <c r="C7">
        <v>1</v>
      </c>
      <c r="F7">
        <v>1</v>
      </c>
    </row>
    <row r="8" spans="1:6" x14ac:dyDescent="0.2">
      <c r="A8">
        <v>7</v>
      </c>
      <c r="B8">
        <v>1</v>
      </c>
      <c r="C8">
        <v>1</v>
      </c>
      <c r="F8">
        <v>2</v>
      </c>
    </row>
    <row r="9" spans="1:6" x14ac:dyDescent="0.2">
      <c r="A9">
        <v>8</v>
      </c>
      <c r="B9">
        <v>-1</v>
      </c>
      <c r="C9">
        <v>1</v>
      </c>
      <c r="F9">
        <v>1</v>
      </c>
    </row>
    <row r="10" spans="1:6" x14ac:dyDescent="0.2">
      <c r="A10">
        <v>9</v>
      </c>
      <c r="B10">
        <v>-1</v>
      </c>
      <c r="C10">
        <v>1</v>
      </c>
      <c r="F10">
        <v>2</v>
      </c>
    </row>
    <row r="11" spans="1:6" x14ac:dyDescent="0.2">
      <c r="A11">
        <v>10</v>
      </c>
      <c r="B11">
        <v>1</v>
      </c>
      <c r="C11">
        <v>1</v>
      </c>
    </row>
    <row r="12" spans="1:6" x14ac:dyDescent="0.2">
      <c r="A12">
        <v>11</v>
      </c>
      <c r="B12">
        <v>-1</v>
      </c>
      <c r="C12">
        <v>1</v>
      </c>
      <c r="E12" s="3" t="s">
        <v>670</v>
      </c>
      <c r="F12" s="3">
        <f>AVERAGE(F6:F10)</f>
        <v>1.4</v>
      </c>
    </row>
    <row r="13" spans="1:6" x14ac:dyDescent="0.2">
      <c r="A13">
        <v>12</v>
      </c>
      <c r="B13">
        <v>-1</v>
      </c>
      <c r="C13">
        <v>1</v>
      </c>
    </row>
    <row r="14" spans="1:6" x14ac:dyDescent="0.2">
      <c r="A14">
        <v>13</v>
      </c>
      <c r="B14">
        <v>1</v>
      </c>
      <c r="C14" s="2">
        <v>1</v>
      </c>
      <c r="E14" s="3" t="s">
        <v>671</v>
      </c>
      <c r="F14" s="3">
        <f>SUM(C2:C101)/COUNTA(C2:C101)*100</f>
        <v>93</v>
      </c>
    </row>
    <row r="15" spans="1:6" x14ac:dyDescent="0.2">
      <c r="A15">
        <v>14</v>
      </c>
      <c r="B15">
        <v>-1</v>
      </c>
      <c r="C15" s="2">
        <v>0</v>
      </c>
    </row>
    <row r="16" spans="1:6" x14ac:dyDescent="0.2">
      <c r="A16">
        <v>15</v>
      </c>
      <c r="B16">
        <v>-2.5</v>
      </c>
      <c r="C16" s="2">
        <v>0</v>
      </c>
    </row>
    <row r="17" spans="1:3" x14ac:dyDescent="0.2">
      <c r="A17">
        <v>16</v>
      </c>
      <c r="B17">
        <v>4</v>
      </c>
      <c r="C17" s="2">
        <v>1</v>
      </c>
    </row>
    <row r="18" spans="1:3" x14ac:dyDescent="0.2">
      <c r="A18">
        <v>17</v>
      </c>
      <c r="B18">
        <v>-4</v>
      </c>
      <c r="C18">
        <v>1</v>
      </c>
    </row>
    <row r="19" spans="1:3" x14ac:dyDescent="0.2">
      <c r="A19">
        <v>18</v>
      </c>
      <c r="B19">
        <v>4</v>
      </c>
      <c r="C19">
        <v>1</v>
      </c>
    </row>
    <row r="20" spans="1:3" x14ac:dyDescent="0.2">
      <c r="A20">
        <v>19</v>
      </c>
      <c r="B20">
        <v>-3</v>
      </c>
      <c r="C20">
        <v>1</v>
      </c>
    </row>
    <row r="21" spans="1:3" x14ac:dyDescent="0.2">
      <c r="A21">
        <v>20</v>
      </c>
      <c r="B21">
        <v>3</v>
      </c>
      <c r="C21">
        <v>1</v>
      </c>
    </row>
    <row r="22" spans="1:3" x14ac:dyDescent="0.2">
      <c r="A22">
        <v>21</v>
      </c>
      <c r="B22">
        <v>-3</v>
      </c>
      <c r="C22">
        <v>1</v>
      </c>
    </row>
    <row r="23" spans="1:3" x14ac:dyDescent="0.2">
      <c r="A23">
        <v>22</v>
      </c>
      <c r="B23">
        <v>2</v>
      </c>
      <c r="C23">
        <v>1</v>
      </c>
    </row>
    <row r="24" spans="1:3" x14ac:dyDescent="0.2">
      <c r="A24">
        <v>23</v>
      </c>
      <c r="B24">
        <v>-2</v>
      </c>
      <c r="C24">
        <v>1</v>
      </c>
    </row>
    <row r="25" spans="1:3" x14ac:dyDescent="0.2">
      <c r="A25">
        <v>24</v>
      </c>
      <c r="B25">
        <v>-2</v>
      </c>
      <c r="C25">
        <v>1</v>
      </c>
    </row>
    <row r="26" spans="1:3" x14ac:dyDescent="0.2">
      <c r="A26">
        <v>25</v>
      </c>
      <c r="B26">
        <v>-1</v>
      </c>
      <c r="C26">
        <v>1</v>
      </c>
    </row>
    <row r="27" spans="1:3" x14ac:dyDescent="0.2">
      <c r="A27">
        <v>26</v>
      </c>
      <c r="B27">
        <v>-1</v>
      </c>
      <c r="C27">
        <v>1</v>
      </c>
    </row>
    <row r="28" spans="1:3" x14ac:dyDescent="0.2">
      <c r="A28">
        <v>27</v>
      </c>
      <c r="B28">
        <v>1</v>
      </c>
      <c r="C28">
        <v>1</v>
      </c>
    </row>
    <row r="29" spans="1:3" x14ac:dyDescent="0.2">
      <c r="A29">
        <v>28</v>
      </c>
      <c r="B29">
        <v>1</v>
      </c>
      <c r="C29">
        <v>1</v>
      </c>
    </row>
    <row r="30" spans="1:3" x14ac:dyDescent="0.2">
      <c r="A30">
        <v>29</v>
      </c>
      <c r="B30">
        <v>1</v>
      </c>
      <c r="C30">
        <v>1</v>
      </c>
    </row>
    <row r="31" spans="1:3" x14ac:dyDescent="0.2">
      <c r="A31">
        <v>30</v>
      </c>
      <c r="B31">
        <v>1</v>
      </c>
      <c r="C31">
        <v>1</v>
      </c>
    </row>
    <row r="32" spans="1:3" x14ac:dyDescent="0.2">
      <c r="A32">
        <v>31</v>
      </c>
      <c r="B32">
        <v>1</v>
      </c>
      <c r="C32">
        <v>1</v>
      </c>
    </row>
    <row r="33" spans="1:3" x14ac:dyDescent="0.2">
      <c r="A33">
        <v>32</v>
      </c>
      <c r="B33">
        <v>1</v>
      </c>
      <c r="C33">
        <v>1</v>
      </c>
    </row>
    <row r="34" spans="1:3" x14ac:dyDescent="0.2">
      <c r="A34">
        <v>33</v>
      </c>
      <c r="B34">
        <v>-1</v>
      </c>
      <c r="C34">
        <v>1</v>
      </c>
    </row>
    <row r="35" spans="1:3" x14ac:dyDescent="0.2">
      <c r="A35">
        <v>34</v>
      </c>
      <c r="B35">
        <v>-1</v>
      </c>
      <c r="C35">
        <v>1</v>
      </c>
    </row>
    <row r="36" spans="1:3" x14ac:dyDescent="0.2">
      <c r="A36">
        <v>35</v>
      </c>
      <c r="B36">
        <v>-1</v>
      </c>
      <c r="C36">
        <v>1</v>
      </c>
    </row>
    <row r="37" spans="1:3" x14ac:dyDescent="0.2">
      <c r="A37">
        <v>36</v>
      </c>
      <c r="B37">
        <v>-1</v>
      </c>
      <c r="C37">
        <v>1</v>
      </c>
    </row>
    <row r="38" spans="1:3" x14ac:dyDescent="0.2">
      <c r="A38">
        <v>37</v>
      </c>
      <c r="B38">
        <v>1</v>
      </c>
      <c r="C38">
        <v>1</v>
      </c>
    </row>
    <row r="39" spans="1:3" x14ac:dyDescent="0.2">
      <c r="A39">
        <v>38</v>
      </c>
      <c r="B39">
        <v>-1</v>
      </c>
      <c r="C39">
        <v>1</v>
      </c>
    </row>
    <row r="40" spans="1:3" x14ac:dyDescent="0.2">
      <c r="A40">
        <v>39</v>
      </c>
      <c r="B40">
        <v>-1</v>
      </c>
      <c r="C40">
        <v>1</v>
      </c>
    </row>
    <row r="41" spans="1:3" x14ac:dyDescent="0.2">
      <c r="A41">
        <v>40</v>
      </c>
      <c r="B41">
        <v>-1</v>
      </c>
      <c r="C41">
        <v>1</v>
      </c>
    </row>
    <row r="42" spans="1:3" x14ac:dyDescent="0.2">
      <c r="A42">
        <v>41</v>
      </c>
      <c r="B42">
        <v>-1</v>
      </c>
      <c r="C42">
        <v>1</v>
      </c>
    </row>
    <row r="43" spans="1:3" x14ac:dyDescent="0.2">
      <c r="A43">
        <v>42</v>
      </c>
      <c r="B43">
        <v>-1</v>
      </c>
      <c r="C43">
        <v>1</v>
      </c>
    </row>
    <row r="44" spans="1:3" x14ac:dyDescent="0.2">
      <c r="A44">
        <v>43</v>
      </c>
      <c r="B44">
        <v>1</v>
      </c>
      <c r="C44">
        <v>1</v>
      </c>
    </row>
    <row r="45" spans="1:3" x14ac:dyDescent="0.2">
      <c r="A45">
        <v>44</v>
      </c>
      <c r="B45" s="2">
        <v>1</v>
      </c>
      <c r="C45" s="2">
        <v>1</v>
      </c>
    </row>
    <row r="46" spans="1:3" x14ac:dyDescent="0.2">
      <c r="A46">
        <v>45</v>
      </c>
      <c r="B46">
        <v>-1</v>
      </c>
      <c r="C46" s="2">
        <v>0</v>
      </c>
    </row>
    <row r="47" spans="1:3" x14ac:dyDescent="0.2">
      <c r="A47">
        <v>46</v>
      </c>
      <c r="B47">
        <v>1.5</v>
      </c>
      <c r="C47">
        <v>1</v>
      </c>
    </row>
    <row r="48" spans="1:3" x14ac:dyDescent="0.2">
      <c r="A48">
        <v>47</v>
      </c>
      <c r="B48">
        <v>1.5</v>
      </c>
      <c r="C48">
        <v>1</v>
      </c>
    </row>
    <row r="49" spans="1:3" x14ac:dyDescent="0.2">
      <c r="A49">
        <v>48</v>
      </c>
      <c r="B49">
        <v>-1.5</v>
      </c>
      <c r="C49">
        <v>1</v>
      </c>
    </row>
    <row r="50" spans="1:3" x14ac:dyDescent="0.2">
      <c r="A50">
        <v>49</v>
      </c>
      <c r="B50">
        <v>-1</v>
      </c>
      <c r="C50">
        <v>1</v>
      </c>
    </row>
    <row r="51" spans="1:3" x14ac:dyDescent="0.2">
      <c r="A51">
        <v>50</v>
      </c>
      <c r="B51">
        <v>-1</v>
      </c>
      <c r="C51">
        <v>1</v>
      </c>
    </row>
    <row r="52" spans="1:3" x14ac:dyDescent="0.2">
      <c r="A52">
        <v>51</v>
      </c>
      <c r="B52">
        <v>1</v>
      </c>
      <c r="C52">
        <v>1</v>
      </c>
    </row>
    <row r="53" spans="1:3" x14ac:dyDescent="0.2">
      <c r="A53">
        <v>52</v>
      </c>
      <c r="B53">
        <v>-1</v>
      </c>
      <c r="C53">
        <v>1</v>
      </c>
    </row>
    <row r="54" spans="1:3" x14ac:dyDescent="0.2">
      <c r="A54">
        <v>53</v>
      </c>
      <c r="B54">
        <v>-1</v>
      </c>
      <c r="C54">
        <v>1</v>
      </c>
    </row>
    <row r="55" spans="1:3" x14ac:dyDescent="0.2">
      <c r="A55">
        <v>54</v>
      </c>
      <c r="B55">
        <v>1</v>
      </c>
      <c r="C55">
        <v>1</v>
      </c>
    </row>
    <row r="56" spans="1:3" x14ac:dyDescent="0.2">
      <c r="A56">
        <v>55</v>
      </c>
      <c r="B56">
        <v>1</v>
      </c>
      <c r="C56">
        <v>1</v>
      </c>
    </row>
    <row r="57" spans="1:3" x14ac:dyDescent="0.2">
      <c r="A57">
        <v>56</v>
      </c>
      <c r="B57">
        <v>1</v>
      </c>
      <c r="C57">
        <v>1</v>
      </c>
    </row>
    <row r="58" spans="1:3" x14ac:dyDescent="0.2">
      <c r="A58">
        <v>57</v>
      </c>
      <c r="B58">
        <v>1</v>
      </c>
      <c r="C58">
        <v>1</v>
      </c>
    </row>
    <row r="59" spans="1:3" x14ac:dyDescent="0.2">
      <c r="A59">
        <v>58</v>
      </c>
      <c r="B59">
        <v>1</v>
      </c>
      <c r="C59">
        <v>1</v>
      </c>
    </row>
    <row r="60" spans="1:3" x14ac:dyDescent="0.2">
      <c r="A60">
        <v>59</v>
      </c>
      <c r="B60">
        <v>1</v>
      </c>
      <c r="C60">
        <v>1</v>
      </c>
    </row>
    <row r="61" spans="1:3" x14ac:dyDescent="0.2">
      <c r="A61">
        <v>60</v>
      </c>
      <c r="B61">
        <v>-1</v>
      </c>
      <c r="C61">
        <v>1</v>
      </c>
    </row>
    <row r="62" spans="1:3" x14ac:dyDescent="0.2">
      <c r="A62">
        <v>61</v>
      </c>
      <c r="B62">
        <v>1</v>
      </c>
      <c r="C62">
        <v>1</v>
      </c>
    </row>
    <row r="63" spans="1:3" x14ac:dyDescent="0.2">
      <c r="A63">
        <v>62</v>
      </c>
      <c r="B63">
        <v>-1</v>
      </c>
      <c r="C63">
        <v>1</v>
      </c>
    </row>
    <row r="64" spans="1:3" x14ac:dyDescent="0.2">
      <c r="A64">
        <v>63</v>
      </c>
      <c r="B64">
        <v>-1</v>
      </c>
      <c r="C64">
        <v>1</v>
      </c>
    </row>
    <row r="65" spans="1:3" x14ac:dyDescent="0.2">
      <c r="A65">
        <v>64</v>
      </c>
      <c r="B65">
        <v>-1</v>
      </c>
      <c r="C65">
        <v>1</v>
      </c>
    </row>
    <row r="66" spans="1:3" x14ac:dyDescent="0.2">
      <c r="A66">
        <v>65</v>
      </c>
      <c r="B66">
        <v>-1</v>
      </c>
      <c r="C66">
        <v>1</v>
      </c>
    </row>
    <row r="67" spans="1:3" x14ac:dyDescent="0.2">
      <c r="A67">
        <v>66</v>
      </c>
      <c r="B67">
        <v>1</v>
      </c>
      <c r="C67">
        <v>1</v>
      </c>
    </row>
    <row r="68" spans="1:3" x14ac:dyDescent="0.2">
      <c r="A68">
        <v>67</v>
      </c>
      <c r="B68">
        <v>-1</v>
      </c>
      <c r="C68">
        <v>1</v>
      </c>
    </row>
    <row r="69" spans="1:3" x14ac:dyDescent="0.2">
      <c r="A69">
        <v>68</v>
      </c>
      <c r="B69">
        <v>1</v>
      </c>
      <c r="C69">
        <v>1</v>
      </c>
    </row>
    <row r="70" spans="1:3" x14ac:dyDescent="0.2">
      <c r="A70">
        <v>69</v>
      </c>
      <c r="B70">
        <v>-1</v>
      </c>
      <c r="C70">
        <v>1</v>
      </c>
    </row>
    <row r="71" spans="1:3" x14ac:dyDescent="0.2">
      <c r="A71">
        <v>70</v>
      </c>
      <c r="B71">
        <v>1</v>
      </c>
      <c r="C71">
        <v>1</v>
      </c>
    </row>
    <row r="72" spans="1:3" x14ac:dyDescent="0.2">
      <c r="A72">
        <v>71</v>
      </c>
      <c r="B72" s="2">
        <v>-1</v>
      </c>
      <c r="C72" s="2">
        <v>1</v>
      </c>
    </row>
    <row r="73" spans="1:3" x14ac:dyDescent="0.2">
      <c r="A73">
        <v>72</v>
      </c>
      <c r="B73">
        <v>1</v>
      </c>
      <c r="C73" s="2">
        <v>0</v>
      </c>
    </row>
    <row r="74" spans="1:3" x14ac:dyDescent="0.2">
      <c r="A74">
        <v>73</v>
      </c>
      <c r="B74">
        <v>1.5</v>
      </c>
      <c r="C74" s="2">
        <v>0</v>
      </c>
    </row>
    <row r="75" spans="1:3" x14ac:dyDescent="0.2">
      <c r="A75">
        <v>74</v>
      </c>
      <c r="B75" s="2">
        <v>2</v>
      </c>
      <c r="C75" s="2">
        <v>1</v>
      </c>
    </row>
    <row r="76" spans="1:3" x14ac:dyDescent="0.2">
      <c r="A76">
        <v>75</v>
      </c>
      <c r="B76">
        <v>-2</v>
      </c>
      <c r="C76">
        <v>1</v>
      </c>
    </row>
    <row r="77" spans="1:3" x14ac:dyDescent="0.2">
      <c r="A77">
        <v>76</v>
      </c>
      <c r="B77">
        <v>-2</v>
      </c>
      <c r="C77">
        <v>1</v>
      </c>
    </row>
    <row r="78" spans="1:3" x14ac:dyDescent="0.2">
      <c r="A78">
        <v>77</v>
      </c>
      <c r="B78">
        <v>1.5</v>
      </c>
      <c r="C78">
        <v>1</v>
      </c>
    </row>
    <row r="79" spans="1:3" x14ac:dyDescent="0.2">
      <c r="A79">
        <v>78</v>
      </c>
      <c r="B79">
        <v>-1.5</v>
      </c>
      <c r="C79">
        <v>1</v>
      </c>
    </row>
    <row r="80" spans="1:3" x14ac:dyDescent="0.2">
      <c r="A80">
        <v>79</v>
      </c>
      <c r="B80">
        <v>1.5</v>
      </c>
      <c r="C80">
        <v>1</v>
      </c>
    </row>
    <row r="81" spans="1:3" x14ac:dyDescent="0.2">
      <c r="A81">
        <v>80</v>
      </c>
      <c r="B81">
        <v>1</v>
      </c>
      <c r="C81">
        <v>1</v>
      </c>
    </row>
    <row r="82" spans="1:3" x14ac:dyDescent="0.2">
      <c r="A82">
        <v>81</v>
      </c>
      <c r="B82">
        <v>-1</v>
      </c>
      <c r="C82">
        <v>1</v>
      </c>
    </row>
    <row r="83" spans="1:3" x14ac:dyDescent="0.2">
      <c r="A83">
        <v>82</v>
      </c>
      <c r="B83">
        <v>1</v>
      </c>
      <c r="C83">
        <v>1</v>
      </c>
    </row>
    <row r="84" spans="1:3" x14ac:dyDescent="0.2">
      <c r="A84">
        <v>83</v>
      </c>
      <c r="B84">
        <v>1</v>
      </c>
      <c r="C84">
        <v>1</v>
      </c>
    </row>
    <row r="85" spans="1:3" x14ac:dyDescent="0.2">
      <c r="A85">
        <v>84</v>
      </c>
      <c r="B85" s="2">
        <v>1</v>
      </c>
      <c r="C85" s="2">
        <v>1</v>
      </c>
    </row>
    <row r="86" spans="1:3" x14ac:dyDescent="0.2">
      <c r="A86">
        <v>85</v>
      </c>
      <c r="B86">
        <v>-1</v>
      </c>
      <c r="C86" s="2">
        <v>0</v>
      </c>
    </row>
    <row r="87" spans="1:3" x14ac:dyDescent="0.2">
      <c r="A87">
        <v>86</v>
      </c>
      <c r="B87">
        <v>-1.5</v>
      </c>
      <c r="C87" s="2">
        <v>0</v>
      </c>
    </row>
    <row r="88" spans="1:3" x14ac:dyDescent="0.2">
      <c r="A88">
        <v>87</v>
      </c>
      <c r="B88" s="2">
        <v>2</v>
      </c>
      <c r="C88" s="2">
        <v>1</v>
      </c>
    </row>
    <row r="89" spans="1:3" x14ac:dyDescent="0.2">
      <c r="A89">
        <v>88</v>
      </c>
      <c r="B89">
        <v>2</v>
      </c>
      <c r="C89">
        <v>1</v>
      </c>
    </row>
    <row r="90" spans="1:3" x14ac:dyDescent="0.2">
      <c r="A90">
        <v>89</v>
      </c>
      <c r="B90">
        <v>2</v>
      </c>
      <c r="C90">
        <v>1</v>
      </c>
    </row>
    <row r="91" spans="1:3" x14ac:dyDescent="0.2">
      <c r="A91">
        <v>90</v>
      </c>
      <c r="B91">
        <v>-1.5</v>
      </c>
      <c r="C91">
        <v>1</v>
      </c>
    </row>
    <row r="92" spans="1:3" x14ac:dyDescent="0.2">
      <c r="A92">
        <v>91</v>
      </c>
      <c r="B92">
        <v>1.5</v>
      </c>
      <c r="C92">
        <v>1</v>
      </c>
    </row>
    <row r="93" spans="1:3" x14ac:dyDescent="0.2">
      <c r="A93">
        <v>92</v>
      </c>
      <c r="B93">
        <v>-1.5</v>
      </c>
      <c r="C93">
        <v>1</v>
      </c>
    </row>
    <row r="94" spans="1:3" x14ac:dyDescent="0.2">
      <c r="A94">
        <v>93</v>
      </c>
      <c r="B94">
        <v>-1</v>
      </c>
      <c r="C94">
        <v>1</v>
      </c>
    </row>
    <row r="95" spans="1:3" x14ac:dyDescent="0.2">
      <c r="A95">
        <v>94</v>
      </c>
      <c r="B95">
        <v>1</v>
      </c>
      <c r="C95">
        <v>1</v>
      </c>
    </row>
    <row r="96" spans="1:3" x14ac:dyDescent="0.2">
      <c r="A96">
        <v>95</v>
      </c>
      <c r="B96">
        <v>1</v>
      </c>
      <c r="C96">
        <v>1</v>
      </c>
    </row>
    <row r="97" spans="1:3" x14ac:dyDescent="0.2">
      <c r="A97">
        <v>96</v>
      </c>
      <c r="B97">
        <v>1</v>
      </c>
      <c r="C97">
        <v>1</v>
      </c>
    </row>
    <row r="98" spans="1:3" x14ac:dyDescent="0.2">
      <c r="A98">
        <v>97</v>
      </c>
      <c r="B98">
        <v>1</v>
      </c>
      <c r="C98">
        <v>1</v>
      </c>
    </row>
    <row r="99" spans="1:3" x14ac:dyDescent="0.2">
      <c r="A99">
        <v>98</v>
      </c>
      <c r="B99">
        <v>1</v>
      </c>
      <c r="C99">
        <v>1</v>
      </c>
    </row>
    <row r="100" spans="1:3" x14ac:dyDescent="0.2">
      <c r="A100">
        <v>99</v>
      </c>
      <c r="B100">
        <v>1</v>
      </c>
      <c r="C100">
        <v>1</v>
      </c>
    </row>
    <row r="101" spans="1:3" x14ac:dyDescent="0.2">
      <c r="A101">
        <v>100</v>
      </c>
      <c r="B101">
        <v>1</v>
      </c>
      <c r="C10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414938_adaptive_staircase_2025-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Krisha Shah</cp:lastModifiedBy>
  <dcterms:modified xsi:type="dcterms:W3CDTF">2025-09-04T05:06:33Z</dcterms:modified>
</cp:coreProperties>
</file>